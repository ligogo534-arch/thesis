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esis\ABSA\robust_check\"/>
    </mc:Choice>
  </mc:AlternateContent>
  <xr:revisionPtr revIDLastSave="0" documentId="13_ncr:1_{06942EE6-88BE-47EE-B9CA-34F3F2F57FE2}" xr6:coauthVersionLast="47" xr6:coauthVersionMax="47" xr10:uidLastSave="{00000000-0000-0000-0000-000000000000}"/>
  <bookViews>
    <workbookView xWindow="-108" yWindow="-108" windowWidth="23256" windowHeight="12456" xr2:uid="{00000000-000D-0000-FFFF-FFFF00000000}"/>
  </bookViews>
  <sheets>
    <sheet name="总体指标" sheetId="1" r:id="rId1"/>
    <sheet name="逐条评论指标" sheetId="2" r:id="rId2"/>
    <sheet name="书籍与投稿类型" sheetId="3" r:id="rId3"/>
    <sheet name="Aspect变化明细" sheetId="4" r:id="rId4"/>
    <sheet name="Aspect变化矩阵" sheetId="5" r:id="rId5"/>
    <sheet name="Polarity混淆矩阵" sheetId="6" r:id="rId6"/>
    <sheet name="Polarity匹配明细" sheetId="7" r:id="rId7"/>
    <sheet name="无效输出" sheetId="8" r:id="rId8"/>
  </sheets>
  <definedNames>
    <definedName name="_xlnm._FilterDatabase" localSheetId="3" hidden="1">Aspect变化明细!$A$1:$E$63</definedName>
  </definedNames>
  <calcPr calcId="191029"/>
</workbook>
</file>

<file path=xl/calcChain.xml><?xml version="1.0" encoding="utf-8"?>
<calcChain xmlns="http://schemas.openxmlformats.org/spreadsheetml/2006/main">
  <c r="E23" i="5" l="1"/>
  <c r="C23" i="5"/>
  <c r="D23" i="5"/>
  <c r="B23" i="5"/>
  <c r="H14" i="5"/>
  <c r="H15" i="5"/>
  <c r="G15" i="5"/>
  <c r="F15" i="5"/>
  <c r="G16" i="5"/>
  <c r="G17" i="5"/>
  <c r="G18" i="5"/>
  <c r="H18" i="5" s="1"/>
  <c r="G19" i="5"/>
  <c r="G20" i="5"/>
  <c r="G21" i="5"/>
  <c r="G22" i="5"/>
  <c r="F16" i="5"/>
  <c r="F17" i="5"/>
  <c r="F18" i="5"/>
  <c r="F19" i="5"/>
  <c r="F20" i="5"/>
  <c r="H20" i="5" s="1"/>
  <c r="F21" i="5"/>
  <c r="H21" i="5" s="1"/>
  <c r="F22" i="5"/>
  <c r="H22" i="5" s="1"/>
  <c r="G14" i="5"/>
  <c r="F14" i="5"/>
  <c r="Q11" i="1"/>
  <c r="P11" i="1"/>
  <c r="Q12" i="1"/>
  <c r="P12" i="1"/>
  <c r="N12" i="1"/>
  <c r="M12" i="1"/>
  <c r="N11" i="1"/>
  <c r="M11" i="1"/>
  <c r="Q10" i="1"/>
  <c r="P10" i="1"/>
  <c r="H19" i="5" l="1"/>
  <c r="H17" i="5"/>
  <c r="H16" i="5"/>
</calcChain>
</file>

<file path=xl/sharedStrings.xml><?xml version="1.0" encoding="utf-8"?>
<sst xmlns="http://schemas.openxmlformats.org/spreadsheetml/2006/main" count="674" uniqueCount="202">
  <si>
    <t>评价层次</t>
  </si>
  <si>
    <t>指标</t>
  </si>
  <si>
    <t>结果</t>
  </si>
  <si>
    <t>分母或样本数</t>
  </si>
  <si>
    <t>输出完整性</t>
  </si>
  <si>
    <t>抽样评论总数</t>
  </si>
  <si>
    <t>两次输出均有效的评论数</t>
  </si>
  <si>
    <t>两次输出均有效的评论比例</t>
  </si>
  <si>
    <t>存在无效输出的评论数</t>
  </si>
  <si>
    <t>两次均无Span的评论数</t>
  </si>
  <si>
    <t>Span</t>
  </si>
  <si>
    <t>第一次单元数</t>
  </si>
  <si>
    <t>第二次单元数</t>
  </si>
  <si>
    <t>匹配单元数</t>
  </si>
  <si>
    <t>Precision</t>
  </si>
  <si>
    <t>Recall</t>
  </si>
  <si>
    <t>F1</t>
  </si>
  <si>
    <t>Aspect</t>
  </si>
  <si>
    <t>端到端</t>
  </si>
  <si>
    <t>评论级Jaccard均值（排除两次均为空）</t>
  </si>
  <si>
    <t>Aspect集合Jaccard均值</t>
  </si>
  <si>
    <t>共同Span上的Aspect集合完全一致率</t>
  </si>
  <si>
    <t>Polarity</t>
  </si>
  <si>
    <t>共同Span-Aspect上的极性一致率</t>
  </si>
  <si>
    <t>Cohen's Kappa</t>
  </si>
  <si>
    <t>评论级完全一致率（含两次均为空）</t>
  </si>
  <si>
    <t>评论级完全一致率（排除两次均为空）</t>
  </si>
  <si>
    <t>ABSA_ID</t>
  </si>
  <si>
    <t>book</t>
  </si>
  <si>
    <t>语料来源</t>
  </si>
  <si>
    <t>第一次Span数</t>
  </si>
  <si>
    <t>第二次Span数</t>
  </si>
  <si>
    <t>匹配Span数</t>
  </si>
  <si>
    <t>Span_Jaccard</t>
  </si>
  <si>
    <t>第一次Span_Aspect数</t>
  </si>
  <si>
    <t>第二次Span_Aspect数</t>
  </si>
  <si>
    <t>匹配Span_Aspect数</t>
  </si>
  <si>
    <t>Aspect_Jaccard</t>
  </si>
  <si>
    <t>共同Span上的Aspect完全一致率</t>
  </si>
  <si>
    <t>第一次三元组数</t>
  </si>
  <si>
    <t>第二次三元组数</t>
  </si>
  <si>
    <t>匹配三元组数</t>
  </si>
  <si>
    <t>端到端完全一致</t>
  </si>
  <si>
    <t>两次均无Span</t>
  </si>
  <si>
    <t>Polarity共同Span_Aspect数</t>
  </si>
  <si>
    <t>Polarity一致数</t>
  </si>
  <si>
    <t>Polarity一致率</t>
  </si>
  <si>
    <t>ABSA_003667</t>
  </si>
  <si>
    <t>始于极限</t>
  </si>
  <si>
    <t>书评</t>
  </si>
  <si>
    <t>ABSA_001047</t>
  </si>
  <si>
    <t>从零开始的女性主义</t>
  </si>
  <si>
    <t>短评</t>
  </si>
  <si>
    <t>ABSA_001432</t>
  </si>
  <si>
    <t>父权制与资本主义</t>
  </si>
  <si>
    <t>ABSA_005444</t>
  </si>
  <si>
    <t>ABSA_004677</t>
  </si>
  <si>
    <t>ABSA_005380</t>
  </si>
  <si>
    <t>ABSA_001244</t>
  </si>
  <si>
    <t>ABSA_000249</t>
  </si>
  <si>
    <t>厌女</t>
  </si>
  <si>
    <t>ABSA_000538</t>
  </si>
  <si>
    <t>ABSA_004638</t>
  </si>
  <si>
    <t>ABSA_004007</t>
  </si>
  <si>
    <t>ABSA_001693</t>
  </si>
  <si>
    <t>ABSA_000751</t>
  </si>
  <si>
    <t>ABSA_003921</t>
  </si>
  <si>
    <t>ABSA_002519</t>
  </si>
  <si>
    <t>ABSA_002196</t>
  </si>
  <si>
    <t>ABSA_000960</t>
  </si>
  <si>
    <t>ABSA_005211</t>
  </si>
  <si>
    <t>ABSA_005404</t>
  </si>
  <si>
    <t>ABSA_005016</t>
  </si>
  <si>
    <t>ABSA_004076</t>
  </si>
  <si>
    <t>ABSA_004482</t>
  </si>
  <si>
    <t>ABSA_000324</t>
  </si>
  <si>
    <t>ABSA_000658</t>
  </si>
  <si>
    <t>ABSA_001465</t>
  </si>
  <si>
    <t>ABSA_001688</t>
  </si>
  <si>
    <t>ABSA_005318</t>
  </si>
  <si>
    <t>ABSA_001472</t>
  </si>
  <si>
    <t>ABSA_000683</t>
  </si>
  <si>
    <t>ABSA_002692</t>
  </si>
  <si>
    <t>ABSA_001352</t>
  </si>
  <si>
    <t>ABSA_003974</t>
  </si>
  <si>
    <t>ABSA_000771</t>
  </si>
  <si>
    <t>ABSA_002819</t>
  </si>
  <si>
    <t>ABSA_000278</t>
  </si>
  <si>
    <t>ABSA_002204</t>
  </si>
  <si>
    <t>ABSA_000856</t>
  </si>
  <si>
    <t>ABSA_000556</t>
  </si>
  <si>
    <t>ABSA_000066</t>
  </si>
  <si>
    <t>ABSA_000834</t>
  </si>
  <si>
    <t>ABSA_003590</t>
  </si>
  <si>
    <t>ABSA_000109</t>
  </si>
  <si>
    <t>ABSA_004768</t>
  </si>
  <si>
    <t>ABSA_005230</t>
  </si>
  <si>
    <t>ABSA_000300</t>
  </si>
  <si>
    <t>ABSA_003187</t>
  </si>
  <si>
    <t>ABSA_000967</t>
  </si>
  <si>
    <t>ABSA_004683</t>
  </si>
  <si>
    <t>ABSA_001311</t>
  </si>
  <si>
    <t>ABSA_001085</t>
  </si>
  <si>
    <t>有效评论数</t>
  </si>
  <si>
    <t>Span_Jaccard均值</t>
  </si>
  <si>
    <t>Aspect_Jaccard均值</t>
  </si>
  <si>
    <t>评论级完全一致率</t>
  </si>
  <si>
    <t>两次均无Span数</t>
  </si>
  <si>
    <t>text_span</t>
  </si>
  <si>
    <t>第一次Aspect</t>
  </si>
  <si>
    <t>第二次Aspect</t>
  </si>
  <si>
    <t>Aspect是否一致</t>
  </si>
  <si>
    <t>但依然在很多moment会对既有观念产生冲击</t>
  </si>
  <si>
    <t>A6</t>
  </si>
  <si>
    <t>可能已经算是一本通俗易懂的“入门读物”了</t>
  </si>
  <si>
    <t>A4</t>
  </si>
  <si>
    <t>哈哈，很有意思的一本小册子</t>
  </si>
  <si>
    <t>女性主义研究不是理论、不是主义，它是一个为我们的生命解惑的东西</t>
  </si>
  <si>
    <t>A7</t>
  </si>
  <si>
    <t>与其说是一种理论的习得，不如说是我生命中一次可贵的相遇</t>
  </si>
  <si>
    <t>第一次字数长到需要些书评，也是我在读电子书的时候留下笔记想法最多的一本书</t>
  </si>
  <si>
    <t>读完完全是一种新的视角</t>
  </si>
  <si>
    <t>两位女性丰富的人生阅历、智慧和经验凝结而成的一本书</t>
  </si>
  <si>
    <t>A1</t>
  </si>
  <si>
    <t>真好啊，感觉有获得力量～</t>
  </si>
  <si>
    <t>看到就是赚到！</t>
  </si>
  <si>
    <t>能与有识之士对谈的一个小时比和其他人对谈一年的时间还要受益终身</t>
  </si>
  <si>
    <t>A5</t>
  </si>
  <si>
    <t>好诚恳好有深度的书信往来呀</t>
  </si>
  <si>
    <t>我作为一个男人，真的想不到这些，很受启发</t>
  </si>
  <si>
    <t>花了一周的时间看完了，是我这么久以来看得最快的一本社会学著作</t>
  </si>
  <si>
    <t>出生并成长在一个厌女症已经根深蒂固的社会，要不断和厌女症做斗争</t>
  </si>
  <si>
    <t>这本书看一遍是远远不够的</t>
  </si>
  <si>
    <t>其中不乏有我自己曾经历的或正在经历的</t>
  </si>
  <si>
    <t>真的很希望身边的女性，如果可能的话，包括男性朋友，都能读一读这本书，只有承认问题的存在，才能着手面对和解决问题</t>
  </si>
  <si>
    <t>每章在阅读的时候我都有很多感受</t>
  </si>
  <si>
    <t>但看完这本书之后，我想大声的说：我就是女性主义者、我就是女权主义者！！！</t>
  </si>
  <si>
    <t>书中提到的“恐弱”、以及”一人一杀“的观点十分精彩</t>
  </si>
  <si>
    <t>她是包容的、是多元的、是创新的~</t>
  </si>
  <si>
    <t>其间好几次，读着又想起母亲竟泪流满面</t>
  </si>
  <si>
    <t>读完这本书，我才从本质上意识并承认我曾是一个赤裸裸厌女的女性</t>
  </si>
  <si>
    <t>母女那章感觉比较好，比较清晰</t>
  </si>
  <si>
    <t>A2</t>
  </si>
  <si>
    <t>有很多很惊奇的观点</t>
  </si>
  <si>
    <t>但论证太松散了，或者好像并没有想要论证？</t>
  </si>
  <si>
    <t>而且纠正了大众对女性主义的印象——不是为了成为男性，而是为了让弱者也获得尊重</t>
  </si>
  <si>
    <t>但始终觉得本书有些割裂，充满了对男性的标签化，也未将普通男性纳入到女性主义的话题之下</t>
  </si>
  <si>
    <t>从启蒙和传播女性主义思想的角度，这本书还是相当不错的</t>
  </si>
  <si>
    <t>读完这本《从零开始的女性主义》明白，女性主义绝不是弱者试图变为强者的思想，女性主义是追求弱者也能得到尊重的思想</t>
  </si>
  <si>
    <t>读到这个观点的时候可以说是让我虎躯一震啊</t>
  </si>
  <si>
    <t>这种痛苦往往可以逼着人去做很多别的事吧</t>
  </si>
  <si>
    <t>因为看到不合理而想要排斥一切摒弃一切的想法，其实是不可取的</t>
  </si>
  <si>
    <t>但是看到谈论婚姻与性的那一章，属于女性之前的独特的情感共鸣和细腻就体现出来了</t>
  </si>
  <si>
    <t>相比较而言铃木凉美对男性的绝望更根深蒂固一些</t>
  </si>
  <si>
    <t>A9</t>
  </si>
  <si>
    <t>此外很多人现在喜欢说话的时候加上前缀“Im not a feminist，but… “。这种语气词也是很有意思值得深究的</t>
  </si>
  <si>
    <t>铃木凉美的文字总让我对她的叙述非常不信任</t>
  </si>
  <si>
    <t>A3</t>
  </si>
  <si>
    <t>特别是听到AV产业的成瘾性玩法，要求女演员不断尝试更难更危险的事情后，还是听的非常心疼</t>
  </si>
  <si>
    <t>铃木凉美的优势是她能看到自己的局限之后不断剖析自身，展开自己</t>
  </si>
  <si>
    <t>实际上我自己，包括我母亲就属于千鹤子指出的”恐弱“的怪圈，因为不愿意承认自己是受伤的，不愿意与其他女性阵营站在一起，因此反而会走入另一种假的而且矛盾的女性主义状态</t>
  </si>
  <si>
    <t>虽然提到这么多不合理以及值得抗争的内容，千鹤子不完全放弃希望，不放弃对话的态度还是很让人感到厉害</t>
  </si>
  <si>
    <t>就像文中也说到的，原话记不清了，大概是，这种外来引进的女性主义不一定能有多大效果，真正的女性主义和觉醒就爆发于无法容忍的女性的呐喊</t>
  </si>
  <si>
    <t>A8</t>
  </si>
  <si>
    <t>事实上历史上女性解放运动的参与者很多反对用女权运动之类的词代替，既然猎巫就要勇敢的成为巫师，这种力量还是很强大的</t>
  </si>
  <si>
    <t>但是看到后面我不得不承认两位就像文中自己说的，已经在年轻女性和老年女性中间的一种心态找到了平衡，并且逐步可以理解两方对立的观点</t>
  </si>
  <si>
    <t>铃木凉美的写法总让我感觉她自己的记忆多少被自己的意识篡改了</t>
  </si>
  <si>
    <t>作为一个为慰安妇制度洗白的女性，上野千鹤子写出的“女权”著作终究只能是一部令人作呕的作品</t>
  </si>
  <si>
    <t>全书以对话记录下来，或许正因为这样的表达方式，让我觉得里面的话语像我经常在网络上刷到关于女权的碎片思考内容</t>
  </si>
  <si>
    <t>全文印象最深是田芳的a面和b面</t>
  </si>
  <si>
    <t>倡导的优生和特殊群体的关系，也有点像每一个主义之间的利益冲突，为什么会反女权，因为他们在a面的利益被触犯了</t>
  </si>
  <si>
    <t>明明有过的研究，但未能被大众所熟知，许多人都是从0开始自己对女权的思考</t>
  </si>
  <si>
    <t>老师说到如果要倡导女权主义，男女平等的话，为什么女不上战场的时候的回答也非常绝</t>
  </si>
  <si>
    <t>直接跳出来回刺，因为男女平等是要维护人权，那么战争呢，总会侵犯到权益，女权是为了侵犯权益吗？</t>
  </si>
  <si>
    <t>女权和特殊群体之间的关系也是第一次发现，感受到：对哦两者确实有关系</t>
  </si>
  <si>
    <t>上野千鹤子的观点真的很好</t>
  </si>
  <si>
    <t>让我没有了那种想说“我不是女性主义”的叛逆</t>
  </si>
  <si>
    <t>这本书让我对一些童年的行为有了新的理解跟解释。</t>
  </si>
  <si>
    <t>阅读的很多时候，能感觉到自己生活的这片土地也存在很深的厌女症</t>
  </si>
  <si>
    <t>上野千鹤子则如老师长者，总能一针见血戳中问题本质，带来拨云见雾的提点。</t>
  </si>
  <si>
    <t>上野千鹤子给予了希望</t>
  </si>
  <si>
    <t>该书打破了我对女性主义的刻板印象。</t>
  </si>
  <si>
    <t>女性主义不是简单的、片面的、单薄的，它没有唯一且恒定的观念，没有统一的标准，女性主义者之间甚至有着不同的立场，对同一件事有着不同角度的解读。</t>
  </si>
  <si>
    <t>第一次Polarity</t>
  </si>
  <si>
    <t>正</t>
  </si>
  <si>
    <t>负</t>
  </si>
  <si>
    <t>中性</t>
  </si>
  <si>
    <t>第二次Polarity</t>
  </si>
  <si>
    <t>TP</t>
  </si>
  <si>
    <t>TP</t>
    <phoneticPr fontId="2" type="noConversion"/>
  </si>
  <si>
    <t>FN</t>
  </si>
  <si>
    <t>FN</t>
    <phoneticPr fontId="2" type="noConversion"/>
  </si>
  <si>
    <t>FP</t>
  </si>
  <si>
    <t>FP</t>
    <phoneticPr fontId="2" type="noConversion"/>
  </si>
  <si>
    <t>Span</t>
    <phoneticPr fontId="2" type="noConversion"/>
  </si>
  <si>
    <t>第一次Aspect</t>
    <phoneticPr fontId="2" type="noConversion"/>
  </si>
  <si>
    <t>アスペクト</t>
  </si>
  <si>
    <t>対象数</t>
  </si>
  <si>
    <t>適合率</t>
  </si>
  <si>
    <t>再現率</t>
  </si>
  <si>
    <r>
      <t>F1</t>
    </r>
    <r>
      <rPr>
        <sz val="11"/>
        <color theme="1"/>
        <rFont val="MS Mincho"/>
        <family val="3"/>
        <charset val="128"/>
      </rPr>
      <t>値</t>
    </r>
  </si>
  <si>
    <t>total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</si>
</sst>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7" x14ac:knownFonts="1">
    <font>
      <sz val="11"/>
      <color theme="1"/>
      <name val="宋体"/>
      <family val="2"/>
      <scheme val="minor"/>
    </font>
    <font>
      <b/>
      <sz val="11"/>
      <name val="宋体"/>
      <charset val="134"/>
    </font>
    <font>
      <sz val="9"/>
      <name val="宋体"/>
      <family val="3"/>
      <charset val="134"/>
      <scheme val="minor"/>
    </font>
    <font>
      <sz val="11"/>
      <color theme="1"/>
      <name val="Yu Gothic"/>
      <family val="2"/>
      <charset val="128"/>
    </font>
    <font>
      <b/>
      <sz val="11"/>
      <name val="宋体"/>
      <family val="3"/>
      <charset val="134"/>
    </font>
    <font>
      <sz val="11"/>
      <color theme="1"/>
      <name val="MS Mincho"/>
      <family val="3"/>
      <charset val="128"/>
    </font>
    <font>
      <sz val="11"/>
      <color theme="1"/>
      <name val="Times New Roman"/>
      <family val="1"/>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0" applyFont="1"/>
    <xf numFmtId="0" fontId="4" fillId="0" borderId="1" xfId="0" applyFont="1" applyBorder="1" applyAlignment="1">
      <alignment horizontal="center" vertical="top"/>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
  <sheetViews>
    <sheetView tabSelected="1" workbookViewId="0">
      <selection activeCell="E18" sqref="E18"/>
    </sheetView>
  </sheetViews>
  <sheetFormatPr defaultRowHeight="14.4" x14ac:dyDescent="0.25"/>
  <cols>
    <col min="1" max="1" width="18.33203125" customWidth="1"/>
    <col min="2" max="2" width="24.88671875" customWidth="1"/>
  </cols>
  <sheetData>
    <row r="1" spans="1:17" x14ac:dyDescent="0.25">
      <c r="A1" s="1" t="s">
        <v>0</v>
      </c>
      <c r="B1" s="1" t="s">
        <v>1</v>
      </c>
      <c r="C1" s="1" t="s">
        <v>2</v>
      </c>
      <c r="D1" s="1" t="s">
        <v>3</v>
      </c>
    </row>
    <row r="2" spans="1:17" x14ac:dyDescent="0.25">
      <c r="A2" t="s">
        <v>4</v>
      </c>
      <c r="B2" t="s">
        <v>5</v>
      </c>
      <c r="C2">
        <v>50</v>
      </c>
    </row>
    <row r="3" spans="1:17" x14ac:dyDescent="0.25">
      <c r="A3" t="s">
        <v>4</v>
      </c>
      <c r="B3" t="s">
        <v>6</v>
      </c>
      <c r="C3">
        <v>50</v>
      </c>
    </row>
    <row r="4" spans="1:17" x14ac:dyDescent="0.25">
      <c r="A4" t="s">
        <v>4</v>
      </c>
      <c r="B4" t="s">
        <v>7</v>
      </c>
      <c r="C4">
        <v>1</v>
      </c>
      <c r="D4">
        <v>50</v>
      </c>
    </row>
    <row r="5" spans="1:17" x14ac:dyDescent="0.25">
      <c r="A5" t="s">
        <v>4</v>
      </c>
      <c r="B5" t="s">
        <v>8</v>
      </c>
      <c r="C5">
        <v>0</v>
      </c>
    </row>
    <row r="6" spans="1:17" x14ac:dyDescent="0.25">
      <c r="A6" t="s">
        <v>4</v>
      </c>
      <c r="B6" t="s">
        <v>9</v>
      </c>
      <c r="C6">
        <v>26</v>
      </c>
    </row>
    <row r="7" spans="1:17" x14ac:dyDescent="0.25">
      <c r="A7" t="s">
        <v>10</v>
      </c>
      <c r="B7" t="s">
        <v>11</v>
      </c>
      <c r="C7">
        <v>89</v>
      </c>
    </row>
    <row r="8" spans="1:17" x14ac:dyDescent="0.25">
      <c r="A8" t="s">
        <v>10</v>
      </c>
      <c r="B8" t="s">
        <v>12</v>
      </c>
      <c r="C8">
        <v>110</v>
      </c>
    </row>
    <row r="9" spans="1:17" ht="18" x14ac:dyDescent="0.45">
      <c r="A9" t="s">
        <v>10</v>
      </c>
      <c r="B9" t="s">
        <v>13</v>
      </c>
      <c r="C9">
        <v>62</v>
      </c>
      <c r="L9" s="3" t="s">
        <v>189</v>
      </c>
      <c r="M9" s="3" t="s">
        <v>193</v>
      </c>
      <c r="N9" s="3" t="s">
        <v>191</v>
      </c>
      <c r="P9" t="s">
        <v>14</v>
      </c>
      <c r="Q9" t="s">
        <v>15</v>
      </c>
    </row>
    <row r="10" spans="1:17" ht="18" x14ac:dyDescent="0.45">
      <c r="A10" t="s">
        <v>10</v>
      </c>
      <c r="B10" t="s">
        <v>14</v>
      </c>
      <c r="C10">
        <v>0.5636363636363636</v>
      </c>
      <c r="E10" s="2">
        <v>0.5636363636363636</v>
      </c>
      <c r="F10" s="2">
        <v>0.6966292134831461</v>
      </c>
      <c r="G10" s="2">
        <v>0.62311557788944716</v>
      </c>
      <c r="K10" s="3" t="s">
        <v>194</v>
      </c>
      <c r="L10">
        <v>62</v>
      </c>
      <c r="M10">
        <v>48</v>
      </c>
      <c r="N10">
        <v>27</v>
      </c>
      <c r="P10">
        <f>L10/110</f>
        <v>0.5636363636363636</v>
      </c>
      <c r="Q10">
        <f>L10/89</f>
        <v>0.6966292134831461</v>
      </c>
    </row>
    <row r="11" spans="1:17" x14ac:dyDescent="0.25">
      <c r="A11" t="s">
        <v>10</v>
      </c>
      <c r="B11" t="s">
        <v>15</v>
      </c>
      <c r="C11">
        <v>0.6966292134831461</v>
      </c>
      <c r="E11" s="2">
        <v>0.48648648648648651</v>
      </c>
      <c r="F11" s="2">
        <v>0.6067415730337079</v>
      </c>
      <c r="G11" s="2">
        <v>0.54</v>
      </c>
      <c r="K11" t="s">
        <v>17</v>
      </c>
      <c r="L11">
        <v>54</v>
      </c>
      <c r="M11">
        <f>111-54</f>
        <v>57</v>
      </c>
      <c r="N11">
        <f>89-54</f>
        <v>35</v>
      </c>
      <c r="P11">
        <f>L11/C14</f>
        <v>0.48648648648648651</v>
      </c>
      <c r="Q11">
        <f>L11/C13</f>
        <v>0.6067415730337079</v>
      </c>
    </row>
    <row r="12" spans="1:17" x14ac:dyDescent="0.25">
      <c r="A12" t="s">
        <v>10</v>
      </c>
      <c r="B12" t="s">
        <v>16</v>
      </c>
      <c r="C12">
        <v>0.62311557788944716</v>
      </c>
      <c r="E12" s="2"/>
      <c r="F12" s="2"/>
      <c r="G12" s="2"/>
      <c r="H12" s="2">
        <v>0.98148148148148151</v>
      </c>
      <c r="I12" s="2">
        <v>0.93870601589103297</v>
      </c>
      <c r="K12" t="s">
        <v>18</v>
      </c>
      <c r="L12">
        <v>53</v>
      </c>
      <c r="M12">
        <f>111-L12</f>
        <v>58</v>
      </c>
      <c r="N12">
        <f>C19-L12</f>
        <v>36</v>
      </c>
      <c r="P12">
        <f>L12/C20</f>
        <v>0.47747747747747749</v>
      </c>
      <c r="Q12">
        <f>L12/C19</f>
        <v>0.5955056179775281</v>
      </c>
    </row>
    <row r="13" spans="1:17" x14ac:dyDescent="0.25">
      <c r="A13" t="s">
        <v>17</v>
      </c>
      <c r="B13" t="s">
        <v>11</v>
      </c>
      <c r="C13">
        <v>89</v>
      </c>
      <c r="E13" s="2">
        <v>0.47747747747747749</v>
      </c>
      <c r="F13" s="2">
        <v>0.5955056179775281</v>
      </c>
      <c r="G13" s="2">
        <v>0.53</v>
      </c>
    </row>
    <row r="14" spans="1:17" x14ac:dyDescent="0.25">
      <c r="A14" t="s">
        <v>17</v>
      </c>
      <c r="B14" t="s">
        <v>12</v>
      </c>
      <c r="C14">
        <v>111</v>
      </c>
    </row>
    <row r="15" spans="1:17" x14ac:dyDescent="0.25">
      <c r="A15" t="s">
        <v>17</v>
      </c>
      <c r="B15" t="s">
        <v>13</v>
      </c>
      <c r="C15">
        <v>54</v>
      </c>
    </row>
    <row r="16" spans="1:17" x14ac:dyDescent="0.25">
      <c r="A16" t="s">
        <v>17</v>
      </c>
      <c r="B16" t="s">
        <v>14</v>
      </c>
      <c r="C16">
        <v>0.48648648648648651</v>
      </c>
    </row>
    <row r="17" spans="1:4" x14ac:dyDescent="0.25">
      <c r="A17" t="s">
        <v>17</v>
      </c>
      <c r="B17" t="s">
        <v>15</v>
      </c>
      <c r="C17">
        <v>0.6067415730337079</v>
      </c>
    </row>
    <row r="18" spans="1:4" x14ac:dyDescent="0.25">
      <c r="A18" t="s">
        <v>17</v>
      </c>
      <c r="B18" t="s">
        <v>16</v>
      </c>
      <c r="C18">
        <v>0.54</v>
      </c>
    </row>
    <row r="19" spans="1:4" x14ac:dyDescent="0.25">
      <c r="A19" t="s">
        <v>18</v>
      </c>
      <c r="B19" t="s">
        <v>11</v>
      </c>
      <c r="C19">
        <v>89</v>
      </c>
    </row>
    <row r="20" spans="1:4" x14ac:dyDescent="0.25">
      <c r="A20" t="s">
        <v>18</v>
      </c>
      <c r="B20" t="s">
        <v>12</v>
      </c>
      <c r="C20">
        <v>111</v>
      </c>
    </row>
    <row r="21" spans="1:4" x14ac:dyDescent="0.25">
      <c r="A21" t="s">
        <v>18</v>
      </c>
      <c r="B21" t="s">
        <v>13</v>
      </c>
      <c r="C21">
        <v>53</v>
      </c>
    </row>
    <row r="22" spans="1:4" x14ac:dyDescent="0.25">
      <c r="A22" t="s">
        <v>18</v>
      </c>
      <c r="B22" t="s">
        <v>14</v>
      </c>
      <c r="C22">
        <v>0.47747747747747749</v>
      </c>
    </row>
    <row r="23" spans="1:4" x14ac:dyDescent="0.25">
      <c r="A23" t="s">
        <v>18</v>
      </c>
      <c r="B23" t="s">
        <v>15</v>
      </c>
      <c r="C23">
        <v>0.5955056179775281</v>
      </c>
    </row>
    <row r="24" spans="1:4" x14ac:dyDescent="0.25">
      <c r="A24" t="s">
        <v>18</v>
      </c>
      <c r="B24" t="s">
        <v>16</v>
      </c>
      <c r="C24">
        <v>0.53</v>
      </c>
    </row>
    <row r="25" spans="1:4" x14ac:dyDescent="0.25">
      <c r="A25" t="s">
        <v>10</v>
      </c>
      <c r="B25" t="s">
        <v>19</v>
      </c>
      <c r="C25">
        <v>0.62180759055759049</v>
      </c>
      <c r="D25">
        <v>24</v>
      </c>
    </row>
    <row r="26" spans="1:4" x14ac:dyDescent="0.25">
      <c r="A26" t="s">
        <v>17</v>
      </c>
      <c r="B26" t="s">
        <v>20</v>
      </c>
      <c r="C26">
        <v>0.51182887328720661</v>
      </c>
      <c r="D26">
        <v>24</v>
      </c>
    </row>
    <row r="27" spans="1:4" x14ac:dyDescent="0.25">
      <c r="A27" t="s">
        <v>17</v>
      </c>
      <c r="B27" t="s">
        <v>21</v>
      </c>
      <c r="C27">
        <v>0.82261904761904758</v>
      </c>
      <c r="D27">
        <v>20</v>
      </c>
    </row>
    <row r="28" spans="1:4" x14ac:dyDescent="0.25">
      <c r="A28" t="s">
        <v>22</v>
      </c>
      <c r="B28" t="s">
        <v>23</v>
      </c>
      <c r="C28">
        <v>0.98148148148148151</v>
      </c>
      <c r="D28">
        <v>54</v>
      </c>
    </row>
    <row r="29" spans="1:4" x14ac:dyDescent="0.25">
      <c r="A29" t="s">
        <v>22</v>
      </c>
      <c r="B29" t="s">
        <v>24</v>
      </c>
      <c r="C29">
        <v>0.93870601589103297</v>
      </c>
      <c r="D29">
        <v>54</v>
      </c>
    </row>
    <row r="30" spans="1:4" x14ac:dyDescent="0.25">
      <c r="A30" t="s">
        <v>18</v>
      </c>
      <c r="B30" t="s">
        <v>25</v>
      </c>
      <c r="C30">
        <v>0.7</v>
      </c>
      <c r="D30">
        <v>50</v>
      </c>
    </row>
    <row r="31" spans="1:4" x14ac:dyDescent="0.25">
      <c r="A31" t="s">
        <v>18</v>
      </c>
      <c r="B31" t="s">
        <v>26</v>
      </c>
      <c r="C31">
        <v>0.375</v>
      </c>
      <c r="D31">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workbookViewId="0">
      <selection activeCell="T1" sqref="T1"/>
    </sheetView>
  </sheetViews>
  <sheetFormatPr defaultRowHeight="14.4" x14ac:dyDescent="0.25"/>
  <sheetData>
    <row r="1" spans="1:20" x14ac:dyDescent="0.25">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row>
    <row r="2" spans="1:20" x14ac:dyDescent="0.25">
      <c r="A2" t="s">
        <v>47</v>
      </c>
      <c r="B2" t="s">
        <v>48</v>
      </c>
      <c r="C2" t="s">
        <v>49</v>
      </c>
      <c r="D2">
        <v>0</v>
      </c>
      <c r="E2">
        <v>0</v>
      </c>
      <c r="F2">
        <v>0</v>
      </c>
      <c r="H2">
        <v>0</v>
      </c>
      <c r="I2">
        <v>0</v>
      </c>
      <c r="J2">
        <v>0</v>
      </c>
      <c r="M2">
        <v>0</v>
      </c>
      <c r="N2">
        <v>0</v>
      </c>
      <c r="O2">
        <v>0</v>
      </c>
      <c r="P2" t="b">
        <v>1</v>
      </c>
      <c r="Q2" t="b">
        <v>1</v>
      </c>
      <c r="R2">
        <v>0</v>
      </c>
      <c r="S2">
        <v>0</v>
      </c>
    </row>
    <row r="3" spans="1:20" x14ac:dyDescent="0.25">
      <c r="A3" t="s">
        <v>50</v>
      </c>
      <c r="B3" t="s">
        <v>51</v>
      </c>
      <c r="C3" t="s">
        <v>52</v>
      </c>
      <c r="D3">
        <v>1</v>
      </c>
      <c r="E3">
        <v>1</v>
      </c>
      <c r="F3">
        <v>1</v>
      </c>
      <c r="G3">
        <v>1</v>
      </c>
      <c r="H3">
        <v>1</v>
      </c>
      <c r="I3">
        <v>1</v>
      </c>
      <c r="J3">
        <v>1</v>
      </c>
      <c r="K3">
        <v>1</v>
      </c>
      <c r="L3">
        <v>1</v>
      </c>
      <c r="M3">
        <v>1</v>
      </c>
      <c r="N3">
        <v>1</v>
      </c>
      <c r="O3">
        <v>1</v>
      </c>
      <c r="P3" t="b">
        <v>1</v>
      </c>
      <c r="Q3" t="b">
        <v>0</v>
      </c>
      <c r="R3">
        <v>1</v>
      </c>
      <c r="S3">
        <v>1</v>
      </c>
      <c r="T3">
        <v>1</v>
      </c>
    </row>
    <row r="4" spans="1:20" x14ac:dyDescent="0.25">
      <c r="A4" t="s">
        <v>53</v>
      </c>
      <c r="B4" t="s">
        <v>54</v>
      </c>
      <c r="C4" t="s">
        <v>52</v>
      </c>
      <c r="D4">
        <v>0</v>
      </c>
      <c r="E4">
        <v>0</v>
      </c>
      <c r="F4">
        <v>0</v>
      </c>
      <c r="H4">
        <v>0</v>
      </c>
      <c r="I4">
        <v>0</v>
      </c>
      <c r="J4">
        <v>0</v>
      </c>
      <c r="M4">
        <v>0</v>
      </c>
      <c r="N4">
        <v>0</v>
      </c>
      <c r="O4">
        <v>0</v>
      </c>
      <c r="P4" t="b">
        <v>1</v>
      </c>
      <c r="Q4" t="b">
        <v>1</v>
      </c>
      <c r="R4">
        <v>0</v>
      </c>
      <c r="S4">
        <v>0</v>
      </c>
    </row>
    <row r="5" spans="1:20" x14ac:dyDescent="0.25">
      <c r="A5" t="s">
        <v>55</v>
      </c>
      <c r="B5" t="s">
        <v>54</v>
      </c>
      <c r="C5" t="s">
        <v>49</v>
      </c>
      <c r="D5">
        <v>0</v>
      </c>
      <c r="E5">
        <v>0</v>
      </c>
      <c r="F5">
        <v>0</v>
      </c>
      <c r="H5">
        <v>0</v>
      </c>
      <c r="I5">
        <v>0</v>
      </c>
      <c r="J5">
        <v>0</v>
      </c>
      <c r="M5">
        <v>0</v>
      </c>
      <c r="N5">
        <v>0</v>
      </c>
      <c r="O5">
        <v>0</v>
      </c>
      <c r="P5" t="b">
        <v>1</v>
      </c>
      <c r="Q5" t="b">
        <v>1</v>
      </c>
      <c r="R5">
        <v>0</v>
      </c>
      <c r="S5">
        <v>0</v>
      </c>
    </row>
    <row r="6" spans="1:20" x14ac:dyDescent="0.25">
      <c r="A6" t="s">
        <v>56</v>
      </c>
      <c r="B6" t="s">
        <v>51</v>
      </c>
      <c r="C6" t="s">
        <v>49</v>
      </c>
      <c r="D6">
        <v>10</v>
      </c>
      <c r="E6">
        <v>9</v>
      </c>
      <c r="F6">
        <v>7</v>
      </c>
      <c r="G6">
        <v>0.58333333333333337</v>
      </c>
      <c r="H6">
        <v>10</v>
      </c>
      <c r="I6">
        <v>9</v>
      </c>
      <c r="J6">
        <v>6</v>
      </c>
      <c r="K6">
        <v>0.46153846153846162</v>
      </c>
      <c r="L6">
        <v>0.8571428571428571</v>
      </c>
      <c r="M6">
        <v>10</v>
      </c>
      <c r="N6">
        <v>9</v>
      </c>
      <c r="O6">
        <v>6</v>
      </c>
      <c r="P6" t="b">
        <v>0</v>
      </c>
      <c r="Q6" t="b">
        <v>0</v>
      </c>
      <c r="R6">
        <v>6</v>
      </c>
      <c r="S6">
        <v>6</v>
      </c>
      <c r="T6">
        <v>1</v>
      </c>
    </row>
    <row r="7" spans="1:20" x14ac:dyDescent="0.25">
      <c r="A7" t="s">
        <v>57</v>
      </c>
      <c r="B7" t="s">
        <v>54</v>
      </c>
      <c r="C7" t="s">
        <v>49</v>
      </c>
      <c r="D7">
        <v>0</v>
      </c>
      <c r="E7">
        <v>0</v>
      </c>
      <c r="F7">
        <v>0</v>
      </c>
      <c r="H7">
        <v>0</v>
      </c>
      <c r="I7">
        <v>0</v>
      </c>
      <c r="J7">
        <v>0</v>
      </c>
      <c r="M7">
        <v>0</v>
      </c>
      <c r="N7">
        <v>0</v>
      </c>
      <c r="O7">
        <v>0</v>
      </c>
      <c r="P7" t="b">
        <v>1</v>
      </c>
      <c r="Q7" t="b">
        <v>1</v>
      </c>
      <c r="R7">
        <v>0</v>
      </c>
      <c r="S7">
        <v>0</v>
      </c>
    </row>
    <row r="8" spans="1:20" x14ac:dyDescent="0.25">
      <c r="A8" t="s">
        <v>58</v>
      </c>
      <c r="B8" t="s">
        <v>54</v>
      </c>
      <c r="C8" t="s">
        <v>52</v>
      </c>
      <c r="D8">
        <v>0</v>
      </c>
      <c r="E8">
        <v>0</v>
      </c>
      <c r="F8">
        <v>0</v>
      </c>
      <c r="H8">
        <v>0</v>
      </c>
      <c r="I8">
        <v>0</v>
      </c>
      <c r="J8">
        <v>0</v>
      </c>
      <c r="M8">
        <v>0</v>
      </c>
      <c r="N8">
        <v>0</v>
      </c>
      <c r="O8">
        <v>0</v>
      </c>
      <c r="P8" t="b">
        <v>1</v>
      </c>
      <c r="Q8" t="b">
        <v>1</v>
      </c>
      <c r="R8">
        <v>0</v>
      </c>
      <c r="S8">
        <v>0</v>
      </c>
    </row>
    <row r="9" spans="1:20" x14ac:dyDescent="0.25">
      <c r="A9" t="s">
        <v>59</v>
      </c>
      <c r="B9" t="s">
        <v>60</v>
      </c>
      <c r="C9" t="s">
        <v>52</v>
      </c>
      <c r="D9">
        <v>0</v>
      </c>
      <c r="E9">
        <v>0</v>
      </c>
      <c r="F9">
        <v>0</v>
      </c>
      <c r="H9">
        <v>0</v>
      </c>
      <c r="I9">
        <v>0</v>
      </c>
      <c r="J9">
        <v>0</v>
      </c>
      <c r="M9">
        <v>0</v>
      </c>
      <c r="N9">
        <v>0</v>
      </c>
      <c r="O9">
        <v>0</v>
      </c>
      <c r="P9" t="b">
        <v>1</v>
      </c>
      <c r="Q9" t="b">
        <v>1</v>
      </c>
      <c r="R9">
        <v>0</v>
      </c>
      <c r="S9">
        <v>0</v>
      </c>
    </row>
    <row r="10" spans="1:20" x14ac:dyDescent="0.25">
      <c r="A10" t="s">
        <v>61</v>
      </c>
      <c r="B10" t="s">
        <v>48</v>
      </c>
      <c r="C10" t="s">
        <v>52</v>
      </c>
      <c r="D10">
        <v>3</v>
      </c>
      <c r="E10">
        <v>3</v>
      </c>
      <c r="F10">
        <v>3</v>
      </c>
      <c r="G10">
        <v>1</v>
      </c>
      <c r="H10">
        <v>3</v>
      </c>
      <c r="I10">
        <v>3</v>
      </c>
      <c r="J10">
        <v>3</v>
      </c>
      <c r="K10">
        <v>1</v>
      </c>
      <c r="L10">
        <v>1</v>
      </c>
      <c r="M10">
        <v>3</v>
      </c>
      <c r="N10">
        <v>3</v>
      </c>
      <c r="O10">
        <v>3</v>
      </c>
      <c r="P10" t="b">
        <v>1</v>
      </c>
      <c r="Q10" t="b">
        <v>0</v>
      </c>
      <c r="R10">
        <v>3</v>
      </c>
      <c r="S10">
        <v>3</v>
      </c>
      <c r="T10">
        <v>1</v>
      </c>
    </row>
    <row r="11" spans="1:20" x14ac:dyDescent="0.25">
      <c r="A11" t="s">
        <v>62</v>
      </c>
      <c r="B11" t="s">
        <v>51</v>
      </c>
      <c r="C11" t="s">
        <v>49</v>
      </c>
      <c r="D11">
        <v>4</v>
      </c>
      <c r="E11">
        <v>5</v>
      </c>
      <c r="F11">
        <v>3</v>
      </c>
      <c r="G11">
        <v>0.5</v>
      </c>
      <c r="H11">
        <v>4</v>
      </c>
      <c r="I11">
        <v>5</v>
      </c>
      <c r="J11">
        <v>3</v>
      </c>
      <c r="K11">
        <v>0.5</v>
      </c>
      <c r="L11">
        <v>1</v>
      </c>
      <c r="M11">
        <v>4</v>
      </c>
      <c r="N11">
        <v>5</v>
      </c>
      <c r="O11">
        <v>3</v>
      </c>
      <c r="P11" t="b">
        <v>0</v>
      </c>
      <c r="Q11" t="b">
        <v>0</v>
      </c>
      <c r="R11">
        <v>3</v>
      </c>
      <c r="S11">
        <v>3</v>
      </c>
      <c r="T11">
        <v>1</v>
      </c>
    </row>
    <row r="12" spans="1:20" x14ac:dyDescent="0.25">
      <c r="A12" t="s">
        <v>63</v>
      </c>
      <c r="B12" t="s">
        <v>48</v>
      </c>
      <c r="C12" t="s">
        <v>49</v>
      </c>
      <c r="D12">
        <v>4</v>
      </c>
      <c r="E12">
        <v>4</v>
      </c>
      <c r="F12">
        <v>0</v>
      </c>
      <c r="G12">
        <v>0</v>
      </c>
      <c r="H12">
        <v>4</v>
      </c>
      <c r="I12">
        <v>4</v>
      </c>
      <c r="J12">
        <v>0</v>
      </c>
      <c r="K12">
        <v>0</v>
      </c>
      <c r="M12">
        <v>4</v>
      </c>
      <c r="N12">
        <v>4</v>
      </c>
      <c r="O12">
        <v>0</v>
      </c>
      <c r="P12" t="b">
        <v>0</v>
      </c>
      <c r="Q12" t="b">
        <v>0</v>
      </c>
      <c r="R12">
        <v>0</v>
      </c>
      <c r="S12">
        <v>0</v>
      </c>
    </row>
    <row r="13" spans="1:20" x14ac:dyDescent="0.25">
      <c r="A13" t="s">
        <v>64</v>
      </c>
      <c r="B13" t="s">
        <v>60</v>
      </c>
      <c r="C13" t="s">
        <v>49</v>
      </c>
      <c r="D13">
        <v>0</v>
      </c>
      <c r="E13">
        <v>0</v>
      </c>
      <c r="F13">
        <v>0</v>
      </c>
      <c r="H13">
        <v>0</v>
      </c>
      <c r="I13">
        <v>0</v>
      </c>
      <c r="J13">
        <v>0</v>
      </c>
      <c r="M13">
        <v>0</v>
      </c>
      <c r="N13">
        <v>0</v>
      </c>
      <c r="O13">
        <v>0</v>
      </c>
      <c r="P13" t="b">
        <v>1</v>
      </c>
      <c r="Q13" t="b">
        <v>1</v>
      </c>
      <c r="R13">
        <v>0</v>
      </c>
      <c r="S13">
        <v>0</v>
      </c>
    </row>
    <row r="14" spans="1:20" x14ac:dyDescent="0.25">
      <c r="A14" t="s">
        <v>65</v>
      </c>
      <c r="B14" t="s">
        <v>48</v>
      </c>
      <c r="C14" t="s">
        <v>52</v>
      </c>
      <c r="D14">
        <v>0</v>
      </c>
      <c r="E14">
        <v>0</v>
      </c>
      <c r="F14">
        <v>0</v>
      </c>
      <c r="H14">
        <v>0</v>
      </c>
      <c r="I14">
        <v>0</v>
      </c>
      <c r="J14">
        <v>0</v>
      </c>
      <c r="M14">
        <v>0</v>
      </c>
      <c r="N14">
        <v>0</v>
      </c>
      <c r="O14">
        <v>0</v>
      </c>
      <c r="P14" t="b">
        <v>1</v>
      </c>
      <c r="Q14" t="b">
        <v>1</v>
      </c>
      <c r="R14">
        <v>0</v>
      </c>
      <c r="S14">
        <v>0</v>
      </c>
    </row>
    <row r="15" spans="1:20" x14ac:dyDescent="0.25">
      <c r="A15" t="s">
        <v>66</v>
      </c>
      <c r="B15" t="s">
        <v>48</v>
      </c>
      <c r="C15" t="s">
        <v>49</v>
      </c>
      <c r="D15">
        <v>0</v>
      </c>
      <c r="E15">
        <v>0</v>
      </c>
      <c r="F15">
        <v>0</v>
      </c>
      <c r="H15">
        <v>0</v>
      </c>
      <c r="I15">
        <v>0</v>
      </c>
      <c r="J15">
        <v>0</v>
      </c>
      <c r="M15">
        <v>0</v>
      </c>
      <c r="N15">
        <v>0</v>
      </c>
      <c r="O15">
        <v>0</v>
      </c>
      <c r="P15" t="b">
        <v>1</v>
      </c>
      <c r="Q15" t="b">
        <v>1</v>
      </c>
      <c r="R15">
        <v>0</v>
      </c>
      <c r="S15">
        <v>0</v>
      </c>
    </row>
    <row r="16" spans="1:20" x14ac:dyDescent="0.25">
      <c r="A16" t="s">
        <v>67</v>
      </c>
      <c r="B16" t="s">
        <v>60</v>
      </c>
      <c r="C16" t="s">
        <v>49</v>
      </c>
      <c r="D16">
        <v>0</v>
      </c>
      <c r="E16">
        <v>0</v>
      </c>
      <c r="F16">
        <v>0</v>
      </c>
      <c r="H16">
        <v>0</v>
      </c>
      <c r="I16">
        <v>0</v>
      </c>
      <c r="J16">
        <v>0</v>
      </c>
      <c r="M16">
        <v>0</v>
      </c>
      <c r="N16">
        <v>0</v>
      </c>
      <c r="O16">
        <v>0</v>
      </c>
      <c r="P16" t="b">
        <v>1</v>
      </c>
      <c r="Q16" t="b">
        <v>1</v>
      </c>
      <c r="R16">
        <v>0</v>
      </c>
      <c r="S16">
        <v>0</v>
      </c>
    </row>
    <row r="17" spans="1:20" x14ac:dyDescent="0.25">
      <c r="A17" t="s">
        <v>68</v>
      </c>
      <c r="B17" t="s">
        <v>60</v>
      </c>
      <c r="C17" t="s">
        <v>49</v>
      </c>
      <c r="D17">
        <v>3</v>
      </c>
      <c r="E17">
        <v>6</v>
      </c>
      <c r="F17">
        <v>2</v>
      </c>
      <c r="G17">
        <v>0.2857142857142857</v>
      </c>
      <c r="H17">
        <v>3</v>
      </c>
      <c r="I17">
        <v>6</v>
      </c>
      <c r="J17">
        <v>2</v>
      </c>
      <c r="K17">
        <v>0.2857142857142857</v>
      </c>
      <c r="L17">
        <v>1</v>
      </c>
      <c r="M17">
        <v>3</v>
      </c>
      <c r="N17">
        <v>6</v>
      </c>
      <c r="O17">
        <v>2</v>
      </c>
      <c r="P17" t="b">
        <v>0</v>
      </c>
      <c r="Q17" t="b">
        <v>0</v>
      </c>
      <c r="R17">
        <v>2</v>
      </c>
      <c r="S17">
        <v>2</v>
      </c>
      <c r="T17">
        <v>1</v>
      </c>
    </row>
    <row r="18" spans="1:20" x14ac:dyDescent="0.25">
      <c r="A18" t="s">
        <v>69</v>
      </c>
      <c r="B18" t="s">
        <v>51</v>
      </c>
      <c r="C18" t="s">
        <v>52</v>
      </c>
      <c r="D18">
        <v>0</v>
      </c>
      <c r="E18">
        <v>0</v>
      </c>
      <c r="F18">
        <v>0</v>
      </c>
      <c r="H18">
        <v>0</v>
      </c>
      <c r="I18">
        <v>0</v>
      </c>
      <c r="J18">
        <v>0</v>
      </c>
      <c r="M18">
        <v>0</v>
      </c>
      <c r="N18">
        <v>0</v>
      </c>
      <c r="O18">
        <v>0</v>
      </c>
      <c r="P18" t="b">
        <v>1</v>
      </c>
      <c r="Q18" t="b">
        <v>1</v>
      </c>
      <c r="R18">
        <v>0</v>
      </c>
      <c r="S18">
        <v>0</v>
      </c>
    </row>
    <row r="19" spans="1:20" x14ac:dyDescent="0.25">
      <c r="A19" t="s">
        <v>70</v>
      </c>
      <c r="B19" t="s">
        <v>54</v>
      </c>
      <c r="C19" t="s">
        <v>49</v>
      </c>
      <c r="D19">
        <v>0</v>
      </c>
      <c r="E19">
        <v>0</v>
      </c>
      <c r="F19">
        <v>0</v>
      </c>
      <c r="H19">
        <v>0</v>
      </c>
      <c r="I19">
        <v>0</v>
      </c>
      <c r="J19">
        <v>0</v>
      </c>
      <c r="M19">
        <v>0</v>
      </c>
      <c r="N19">
        <v>0</v>
      </c>
      <c r="O19">
        <v>0</v>
      </c>
      <c r="P19" t="b">
        <v>1</v>
      </c>
      <c r="Q19" t="b">
        <v>1</v>
      </c>
      <c r="R19">
        <v>0</v>
      </c>
      <c r="S19">
        <v>0</v>
      </c>
    </row>
    <row r="20" spans="1:20" x14ac:dyDescent="0.25">
      <c r="A20" t="s">
        <v>71</v>
      </c>
      <c r="B20" t="s">
        <v>54</v>
      </c>
      <c r="C20" t="s">
        <v>49</v>
      </c>
      <c r="D20">
        <v>0</v>
      </c>
      <c r="E20">
        <v>0</v>
      </c>
      <c r="F20">
        <v>0</v>
      </c>
      <c r="H20">
        <v>0</v>
      </c>
      <c r="I20">
        <v>0</v>
      </c>
      <c r="J20">
        <v>0</v>
      </c>
      <c r="M20">
        <v>0</v>
      </c>
      <c r="N20">
        <v>0</v>
      </c>
      <c r="O20">
        <v>0</v>
      </c>
      <c r="P20" t="b">
        <v>1</v>
      </c>
      <c r="Q20" t="b">
        <v>1</v>
      </c>
      <c r="R20">
        <v>0</v>
      </c>
      <c r="S20">
        <v>0</v>
      </c>
    </row>
    <row r="21" spans="1:20" x14ac:dyDescent="0.25">
      <c r="A21" t="s">
        <v>72</v>
      </c>
      <c r="B21" t="s">
        <v>51</v>
      </c>
      <c r="C21" t="s">
        <v>49</v>
      </c>
      <c r="D21">
        <v>0</v>
      </c>
      <c r="E21">
        <v>0</v>
      </c>
      <c r="F21">
        <v>0</v>
      </c>
      <c r="H21">
        <v>0</v>
      </c>
      <c r="I21">
        <v>0</v>
      </c>
      <c r="J21">
        <v>0</v>
      </c>
      <c r="M21">
        <v>0</v>
      </c>
      <c r="N21">
        <v>0</v>
      </c>
      <c r="O21">
        <v>0</v>
      </c>
      <c r="P21" t="b">
        <v>1</v>
      </c>
      <c r="Q21" t="b">
        <v>1</v>
      </c>
      <c r="R21">
        <v>0</v>
      </c>
      <c r="S21">
        <v>0</v>
      </c>
    </row>
    <row r="22" spans="1:20" x14ac:dyDescent="0.25">
      <c r="A22" t="s">
        <v>73</v>
      </c>
      <c r="B22" t="s">
        <v>48</v>
      </c>
      <c r="C22" t="s">
        <v>49</v>
      </c>
      <c r="D22">
        <v>5</v>
      </c>
      <c r="E22">
        <v>4</v>
      </c>
      <c r="F22">
        <v>2</v>
      </c>
      <c r="G22">
        <v>0.2857142857142857</v>
      </c>
      <c r="H22">
        <v>5</v>
      </c>
      <c r="I22">
        <v>4</v>
      </c>
      <c r="J22">
        <v>1</v>
      </c>
      <c r="K22">
        <v>0.125</v>
      </c>
      <c r="L22">
        <v>0.5</v>
      </c>
      <c r="M22">
        <v>5</v>
      </c>
      <c r="N22">
        <v>4</v>
      </c>
      <c r="O22">
        <v>1</v>
      </c>
      <c r="P22" t="b">
        <v>0</v>
      </c>
      <c r="Q22" t="b">
        <v>0</v>
      </c>
      <c r="R22">
        <v>1</v>
      </c>
      <c r="S22">
        <v>1</v>
      </c>
      <c r="T22">
        <v>1</v>
      </c>
    </row>
    <row r="23" spans="1:20" x14ac:dyDescent="0.25">
      <c r="A23" t="s">
        <v>74</v>
      </c>
      <c r="B23" t="s">
        <v>51</v>
      </c>
      <c r="C23" t="s">
        <v>49</v>
      </c>
      <c r="D23">
        <v>2</v>
      </c>
      <c r="E23">
        <v>7</v>
      </c>
      <c r="F23">
        <v>2</v>
      </c>
      <c r="G23">
        <v>0.2857142857142857</v>
      </c>
      <c r="H23">
        <v>2</v>
      </c>
      <c r="I23">
        <v>7</v>
      </c>
      <c r="J23">
        <v>2</v>
      </c>
      <c r="K23">
        <v>0.2857142857142857</v>
      </c>
      <c r="L23">
        <v>1</v>
      </c>
      <c r="M23">
        <v>2</v>
      </c>
      <c r="N23">
        <v>7</v>
      </c>
      <c r="O23">
        <v>2</v>
      </c>
      <c r="P23" t="b">
        <v>0</v>
      </c>
      <c r="Q23" t="b">
        <v>0</v>
      </c>
      <c r="R23">
        <v>2</v>
      </c>
      <c r="S23">
        <v>2</v>
      </c>
      <c r="T23">
        <v>1</v>
      </c>
    </row>
    <row r="24" spans="1:20" x14ac:dyDescent="0.25">
      <c r="A24" t="s">
        <v>75</v>
      </c>
      <c r="B24" t="s">
        <v>60</v>
      </c>
      <c r="C24" t="s">
        <v>52</v>
      </c>
      <c r="D24">
        <v>0</v>
      </c>
      <c r="E24">
        <v>0</v>
      </c>
      <c r="F24">
        <v>0</v>
      </c>
      <c r="H24">
        <v>0</v>
      </c>
      <c r="I24">
        <v>0</v>
      </c>
      <c r="J24">
        <v>0</v>
      </c>
      <c r="M24">
        <v>0</v>
      </c>
      <c r="N24">
        <v>0</v>
      </c>
      <c r="O24">
        <v>0</v>
      </c>
      <c r="P24" t="b">
        <v>1</v>
      </c>
      <c r="Q24" t="b">
        <v>1</v>
      </c>
      <c r="R24">
        <v>0</v>
      </c>
      <c r="S24">
        <v>0</v>
      </c>
    </row>
    <row r="25" spans="1:20" x14ac:dyDescent="0.25">
      <c r="A25" t="s">
        <v>76</v>
      </c>
      <c r="B25" t="s">
        <v>48</v>
      </c>
      <c r="C25" t="s">
        <v>52</v>
      </c>
      <c r="D25">
        <v>2</v>
      </c>
      <c r="E25">
        <v>2</v>
      </c>
      <c r="F25">
        <v>2</v>
      </c>
      <c r="G25">
        <v>1</v>
      </c>
      <c r="H25">
        <v>2</v>
      </c>
      <c r="I25">
        <v>2</v>
      </c>
      <c r="J25">
        <v>2</v>
      </c>
      <c r="K25">
        <v>1</v>
      </c>
      <c r="L25">
        <v>1</v>
      </c>
      <c r="M25">
        <v>2</v>
      </c>
      <c r="N25">
        <v>2</v>
      </c>
      <c r="O25">
        <v>2</v>
      </c>
      <c r="P25" t="b">
        <v>1</v>
      </c>
      <c r="Q25" t="b">
        <v>0</v>
      </c>
      <c r="R25">
        <v>2</v>
      </c>
      <c r="S25">
        <v>2</v>
      </c>
      <c r="T25">
        <v>1</v>
      </c>
    </row>
    <row r="26" spans="1:20" x14ac:dyDescent="0.25">
      <c r="A26" t="s">
        <v>77</v>
      </c>
      <c r="B26" t="s">
        <v>54</v>
      </c>
      <c r="C26" t="s">
        <v>52</v>
      </c>
      <c r="D26">
        <v>1</v>
      </c>
      <c r="E26">
        <v>1</v>
      </c>
      <c r="F26">
        <v>1</v>
      </c>
      <c r="G26">
        <v>1</v>
      </c>
      <c r="H26">
        <v>1</v>
      </c>
      <c r="I26">
        <v>1</v>
      </c>
      <c r="J26">
        <v>1</v>
      </c>
      <c r="K26">
        <v>1</v>
      </c>
      <c r="L26">
        <v>1</v>
      </c>
      <c r="M26">
        <v>1</v>
      </c>
      <c r="N26">
        <v>1</v>
      </c>
      <c r="O26">
        <v>1</v>
      </c>
      <c r="P26" t="b">
        <v>1</v>
      </c>
      <c r="Q26" t="b">
        <v>0</v>
      </c>
      <c r="R26">
        <v>1</v>
      </c>
      <c r="S26">
        <v>1</v>
      </c>
      <c r="T26">
        <v>1</v>
      </c>
    </row>
    <row r="27" spans="1:20" x14ac:dyDescent="0.25">
      <c r="A27" t="s">
        <v>78</v>
      </c>
      <c r="B27" t="s">
        <v>60</v>
      </c>
      <c r="C27" t="s">
        <v>49</v>
      </c>
      <c r="D27">
        <v>2</v>
      </c>
      <c r="E27">
        <v>2</v>
      </c>
      <c r="F27">
        <v>2</v>
      </c>
      <c r="G27">
        <v>1</v>
      </c>
      <c r="H27">
        <v>2</v>
      </c>
      <c r="I27">
        <v>2</v>
      </c>
      <c r="J27">
        <v>2</v>
      </c>
      <c r="K27">
        <v>1</v>
      </c>
      <c r="L27">
        <v>1</v>
      </c>
      <c r="M27">
        <v>2</v>
      </c>
      <c r="N27">
        <v>2</v>
      </c>
      <c r="O27">
        <v>2</v>
      </c>
      <c r="P27" t="b">
        <v>1</v>
      </c>
      <c r="Q27" t="b">
        <v>0</v>
      </c>
      <c r="R27">
        <v>2</v>
      </c>
      <c r="S27">
        <v>2</v>
      </c>
      <c r="T27">
        <v>1</v>
      </c>
    </row>
    <row r="28" spans="1:20" x14ac:dyDescent="0.25">
      <c r="A28" t="s">
        <v>79</v>
      </c>
      <c r="B28" t="s">
        <v>54</v>
      </c>
      <c r="C28" t="s">
        <v>49</v>
      </c>
      <c r="D28">
        <v>0</v>
      </c>
      <c r="E28">
        <v>0</v>
      </c>
      <c r="F28">
        <v>0</v>
      </c>
      <c r="H28">
        <v>0</v>
      </c>
      <c r="I28">
        <v>0</v>
      </c>
      <c r="J28">
        <v>0</v>
      </c>
      <c r="M28">
        <v>0</v>
      </c>
      <c r="N28">
        <v>0</v>
      </c>
      <c r="O28">
        <v>0</v>
      </c>
      <c r="P28" t="b">
        <v>1</v>
      </c>
      <c r="Q28" t="b">
        <v>1</v>
      </c>
      <c r="R28">
        <v>0</v>
      </c>
      <c r="S28">
        <v>0</v>
      </c>
    </row>
    <row r="29" spans="1:20" x14ac:dyDescent="0.25">
      <c r="A29" t="s">
        <v>80</v>
      </c>
      <c r="B29" t="s">
        <v>54</v>
      </c>
      <c r="C29" t="s">
        <v>52</v>
      </c>
      <c r="D29">
        <v>0</v>
      </c>
      <c r="E29">
        <v>0</v>
      </c>
      <c r="F29">
        <v>0</v>
      </c>
      <c r="H29">
        <v>0</v>
      </c>
      <c r="I29">
        <v>0</v>
      </c>
      <c r="J29">
        <v>0</v>
      </c>
      <c r="M29">
        <v>0</v>
      </c>
      <c r="N29">
        <v>0</v>
      </c>
      <c r="O29">
        <v>0</v>
      </c>
      <c r="P29" t="b">
        <v>1</v>
      </c>
      <c r="Q29" t="b">
        <v>1</v>
      </c>
      <c r="R29">
        <v>0</v>
      </c>
      <c r="S29">
        <v>0</v>
      </c>
    </row>
    <row r="30" spans="1:20" x14ac:dyDescent="0.25">
      <c r="A30" t="s">
        <v>81</v>
      </c>
      <c r="B30" t="s">
        <v>48</v>
      </c>
      <c r="C30" t="s">
        <v>52</v>
      </c>
      <c r="D30">
        <v>1</v>
      </c>
      <c r="E30">
        <v>1</v>
      </c>
      <c r="F30">
        <v>1</v>
      </c>
      <c r="G30">
        <v>1</v>
      </c>
      <c r="H30">
        <v>1</v>
      </c>
      <c r="I30">
        <v>1</v>
      </c>
      <c r="J30">
        <v>1</v>
      </c>
      <c r="K30">
        <v>1</v>
      </c>
      <c r="L30">
        <v>1</v>
      </c>
      <c r="M30">
        <v>1</v>
      </c>
      <c r="N30">
        <v>1</v>
      </c>
      <c r="O30">
        <v>1</v>
      </c>
      <c r="P30" t="b">
        <v>1</v>
      </c>
      <c r="Q30" t="b">
        <v>0</v>
      </c>
      <c r="R30">
        <v>1</v>
      </c>
      <c r="S30">
        <v>1</v>
      </c>
      <c r="T30">
        <v>1</v>
      </c>
    </row>
    <row r="31" spans="1:20" x14ac:dyDescent="0.25">
      <c r="A31" t="s">
        <v>82</v>
      </c>
      <c r="B31" t="s">
        <v>60</v>
      </c>
      <c r="C31" t="s">
        <v>49</v>
      </c>
      <c r="D31">
        <v>5</v>
      </c>
      <c r="E31">
        <v>6</v>
      </c>
      <c r="F31">
        <v>0</v>
      </c>
      <c r="G31">
        <v>0</v>
      </c>
      <c r="H31">
        <v>5</v>
      </c>
      <c r="I31">
        <v>6</v>
      </c>
      <c r="J31">
        <v>0</v>
      </c>
      <c r="K31">
        <v>0</v>
      </c>
      <c r="M31">
        <v>5</v>
      </c>
      <c r="N31">
        <v>6</v>
      </c>
      <c r="O31">
        <v>0</v>
      </c>
      <c r="P31" t="b">
        <v>0</v>
      </c>
      <c r="Q31" t="b">
        <v>0</v>
      </c>
      <c r="R31">
        <v>0</v>
      </c>
      <c r="S31">
        <v>0</v>
      </c>
    </row>
    <row r="32" spans="1:20" x14ac:dyDescent="0.25">
      <c r="A32" t="s">
        <v>83</v>
      </c>
      <c r="B32" t="s">
        <v>54</v>
      </c>
      <c r="C32" t="s">
        <v>52</v>
      </c>
      <c r="D32">
        <v>2</v>
      </c>
      <c r="E32">
        <v>2</v>
      </c>
      <c r="F32">
        <v>2</v>
      </c>
      <c r="G32">
        <v>1</v>
      </c>
      <c r="H32">
        <v>2</v>
      </c>
      <c r="I32">
        <v>2</v>
      </c>
      <c r="J32">
        <v>2</v>
      </c>
      <c r="K32">
        <v>1</v>
      </c>
      <c r="L32">
        <v>1</v>
      </c>
      <c r="M32">
        <v>2</v>
      </c>
      <c r="N32">
        <v>2</v>
      </c>
      <c r="O32">
        <v>2</v>
      </c>
      <c r="P32" t="b">
        <v>1</v>
      </c>
      <c r="Q32" t="b">
        <v>0</v>
      </c>
      <c r="R32">
        <v>2</v>
      </c>
      <c r="S32">
        <v>2</v>
      </c>
      <c r="T32">
        <v>1</v>
      </c>
    </row>
    <row r="33" spans="1:20" x14ac:dyDescent="0.25">
      <c r="A33" t="s">
        <v>84</v>
      </c>
      <c r="B33" t="s">
        <v>48</v>
      </c>
      <c r="C33" t="s">
        <v>49</v>
      </c>
      <c r="D33">
        <v>6</v>
      </c>
      <c r="E33">
        <v>7</v>
      </c>
      <c r="F33">
        <v>4</v>
      </c>
      <c r="G33">
        <v>0.44444444444444442</v>
      </c>
      <c r="H33">
        <v>6</v>
      </c>
      <c r="I33">
        <v>7</v>
      </c>
      <c r="J33">
        <v>4</v>
      </c>
      <c r="K33">
        <v>0.44444444444444442</v>
      </c>
      <c r="L33">
        <v>1</v>
      </c>
      <c r="M33">
        <v>6</v>
      </c>
      <c r="N33">
        <v>7</v>
      </c>
      <c r="O33">
        <v>4</v>
      </c>
      <c r="P33" t="b">
        <v>0</v>
      </c>
      <c r="Q33" t="b">
        <v>0</v>
      </c>
      <c r="R33">
        <v>4</v>
      </c>
      <c r="S33">
        <v>4</v>
      </c>
      <c r="T33">
        <v>1</v>
      </c>
    </row>
    <row r="34" spans="1:20" x14ac:dyDescent="0.25">
      <c r="A34" t="s">
        <v>85</v>
      </c>
      <c r="B34" t="s">
        <v>48</v>
      </c>
      <c r="C34" t="s">
        <v>52</v>
      </c>
      <c r="D34">
        <v>0</v>
      </c>
      <c r="E34">
        <v>0</v>
      </c>
      <c r="F34">
        <v>0</v>
      </c>
      <c r="H34">
        <v>0</v>
      </c>
      <c r="I34">
        <v>0</v>
      </c>
      <c r="J34">
        <v>0</v>
      </c>
      <c r="M34">
        <v>0</v>
      </c>
      <c r="N34">
        <v>0</v>
      </c>
      <c r="O34">
        <v>0</v>
      </c>
      <c r="P34" t="b">
        <v>1</v>
      </c>
      <c r="Q34" t="b">
        <v>1</v>
      </c>
      <c r="R34">
        <v>0</v>
      </c>
      <c r="S34">
        <v>0</v>
      </c>
    </row>
    <row r="35" spans="1:20" x14ac:dyDescent="0.25">
      <c r="A35" t="s">
        <v>86</v>
      </c>
      <c r="B35" t="s">
        <v>60</v>
      </c>
      <c r="C35" t="s">
        <v>49</v>
      </c>
      <c r="D35">
        <v>7</v>
      </c>
      <c r="E35">
        <v>8</v>
      </c>
      <c r="F35">
        <v>6</v>
      </c>
      <c r="G35">
        <v>0.66666666666666663</v>
      </c>
      <c r="H35">
        <v>7</v>
      </c>
      <c r="I35">
        <v>8</v>
      </c>
      <c r="J35">
        <v>5</v>
      </c>
      <c r="K35">
        <v>0.5</v>
      </c>
      <c r="L35">
        <v>0.83333333333333337</v>
      </c>
      <c r="M35">
        <v>7</v>
      </c>
      <c r="N35">
        <v>8</v>
      </c>
      <c r="O35">
        <v>5</v>
      </c>
      <c r="P35" t="b">
        <v>0</v>
      </c>
      <c r="Q35" t="b">
        <v>0</v>
      </c>
      <c r="R35">
        <v>5</v>
      </c>
      <c r="S35">
        <v>5</v>
      </c>
      <c r="T35">
        <v>1</v>
      </c>
    </row>
    <row r="36" spans="1:20" x14ac:dyDescent="0.25">
      <c r="A36" t="s">
        <v>87</v>
      </c>
      <c r="B36" t="s">
        <v>60</v>
      </c>
      <c r="C36" t="s">
        <v>52</v>
      </c>
      <c r="D36">
        <v>3</v>
      </c>
      <c r="E36">
        <v>3</v>
      </c>
      <c r="F36">
        <v>3</v>
      </c>
      <c r="G36">
        <v>1</v>
      </c>
      <c r="H36">
        <v>3</v>
      </c>
      <c r="I36">
        <v>3</v>
      </c>
      <c r="J36">
        <v>3</v>
      </c>
      <c r="K36">
        <v>1</v>
      </c>
      <c r="L36">
        <v>1</v>
      </c>
      <c r="M36">
        <v>3</v>
      </c>
      <c r="N36">
        <v>3</v>
      </c>
      <c r="O36">
        <v>3</v>
      </c>
      <c r="P36" t="b">
        <v>1</v>
      </c>
      <c r="Q36" t="b">
        <v>0</v>
      </c>
      <c r="R36">
        <v>3</v>
      </c>
      <c r="S36">
        <v>3</v>
      </c>
      <c r="T36">
        <v>1</v>
      </c>
    </row>
    <row r="37" spans="1:20" x14ac:dyDescent="0.25">
      <c r="A37" t="s">
        <v>88</v>
      </c>
      <c r="B37" t="s">
        <v>60</v>
      </c>
      <c r="C37" t="s">
        <v>49</v>
      </c>
      <c r="D37">
        <v>0</v>
      </c>
      <c r="E37">
        <v>0</v>
      </c>
      <c r="F37">
        <v>0</v>
      </c>
      <c r="H37">
        <v>0</v>
      </c>
      <c r="I37">
        <v>0</v>
      </c>
      <c r="J37">
        <v>0</v>
      </c>
      <c r="M37">
        <v>0</v>
      </c>
      <c r="N37">
        <v>0</v>
      </c>
      <c r="O37">
        <v>0</v>
      </c>
      <c r="P37" t="b">
        <v>1</v>
      </c>
      <c r="Q37" t="b">
        <v>1</v>
      </c>
      <c r="R37">
        <v>0</v>
      </c>
      <c r="S37">
        <v>0</v>
      </c>
    </row>
    <row r="38" spans="1:20" x14ac:dyDescent="0.25">
      <c r="A38" t="s">
        <v>89</v>
      </c>
      <c r="B38" t="s">
        <v>51</v>
      </c>
      <c r="C38" t="s">
        <v>52</v>
      </c>
      <c r="D38">
        <v>0</v>
      </c>
      <c r="E38">
        <v>0</v>
      </c>
      <c r="F38">
        <v>0</v>
      </c>
      <c r="H38">
        <v>0</v>
      </c>
      <c r="I38">
        <v>0</v>
      </c>
      <c r="J38">
        <v>0</v>
      </c>
      <c r="M38">
        <v>0</v>
      </c>
      <c r="N38">
        <v>0</v>
      </c>
      <c r="O38">
        <v>0</v>
      </c>
      <c r="P38" t="b">
        <v>1</v>
      </c>
      <c r="Q38" t="b">
        <v>1</v>
      </c>
      <c r="R38">
        <v>0</v>
      </c>
      <c r="S38">
        <v>0</v>
      </c>
    </row>
    <row r="39" spans="1:20" x14ac:dyDescent="0.25">
      <c r="A39" t="s">
        <v>90</v>
      </c>
      <c r="B39" t="s">
        <v>48</v>
      </c>
      <c r="C39" t="s">
        <v>52</v>
      </c>
      <c r="D39">
        <v>0</v>
      </c>
      <c r="E39">
        <v>0</v>
      </c>
      <c r="F39">
        <v>0</v>
      </c>
      <c r="H39">
        <v>0</v>
      </c>
      <c r="I39">
        <v>0</v>
      </c>
      <c r="J39">
        <v>0</v>
      </c>
      <c r="M39">
        <v>0</v>
      </c>
      <c r="N39">
        <v>0</v>
      </c>
      <c r="O39">
        <v>0</v>
      </c>
      <c r="P39" t="b">
        <v>1</v>
      </c>
      <c r="Q39" t="b">
        <v>1</v>
      </c>
      <c r="R39">
        <v>0</v>
      </c>
      <c r="S39">
        <v>0</v>
      </c>
    </row>
    <row r="40" spans="1:20" x14ac:dyDescent="0.25">
      <c r="A40" t="s">
        <v>91</v>
      </c>
      <c r="B40" t="s">
        <v>60</v>
      </c>
      <c r="C40" t="s">
        <v>52</v>
      </c>
      <c r="D40">
        <v>1</v>
      </c>
      <c r="E40">
        <v>1</v>
      </c>
      <c r="F40">
        <v>1</v>
      </c>
      <c r="G40">
        <v>1</v>
      </c>
      <c r="H40">
        <v>1</v>
      </c>
      <c r="I40">
        <v>1</v>
      </c>
      <c r="J40">
        <v>0</v>
      </c>
      <c r="K40">
        <v>0</v>
      </c>
      <c r="L40">
        <v>0</v>
      </c>
      <c r="M40">
        <v>1</v>
      </c>
      <c r="N40">
        <v>1</v>
      </c>
      <c r="O40">
        <v>0</v>
      </c>
      <c r="P40" t="b">
        <v>0</v>
      </c>
      <c r="Q40" t="b">
        <v>0</v>
      </c>
      <c r="R40">
        <v>0</v>
      </c>
      <c r="S40">
        <v>0</v>
      </c>
    </row>
    <row r="41" spans="1:20" x14ac:dyDescent="0.25">
      <c r="A41" t="s">
        <v>92</v>
      </c>
      <c r="B41" t="s">
        <v>51</v>
      </c>
      <c r="C41" t="s">
        <v>52</v>
      </c>
      <c r="D41">
        <v>2</v>
      </c>
      <c r="E41">
        <v>2</v>
      </c>
      <c r="F41">
        <v>1</v>
      </c>
      <c r="G41">
        <v>0.33333333333333331</v>
      </c>
      <c r="H41">
        <v>2</v>
      </c>
      <c r="I41">
        <v>2</v>
      </c>
      <c r="J41">
        <v>0</v>
      </c>
      <c r="K41">
        <v>0</v>
      </c>
      <c r="L41">
        <v>0</v>
      </c>
      <c r="M41">
        <v>2</v>
      </c>
      <c r="N41">
        <v>2</v>
      </c>
      <c r="O41">
        <v>0</v>
      </c>
      <c r="P41" t="b">
        <v>0</v>
      </c>
      <c r="Q41" t="b">
        <v>0</v>
      </c>
      <c r="R41">
        <v>0</v>
      </c>
      <c r="S41">
        <v>0</v>
      </c>
    </row>
    <row r="42" spans="1:20" x14ac:dyDescent="0.25">
      <c r="A42" t="s">
        <v>93</v>
      </c>
      <c r="B42" t="s">
        <v>48</v>
      </c>
      <c r="C42" t="s">
        <v>49</v>
      </c>
      <c r="D42">
        <v>0</v>
      </c>
      <c r="E42">
        <v>0</v>
      </c>
      <c r="F42">
        <v>0</v>
      </c>
      <c r="H42">
        <v>0</v>
      </c>
      <c r="I42">
        <v>0</v>
      </c>
      <c r="J42">
        <v>0</v>
      </c>
      <c r="M42">
        <v>0</v>
      </c>
      <c r="N42">
        <v>0</v>
      </c>
      <c r="O42">
        <v>0</v>
      </c>
      <c r="P42" t="b">
        <v>1</v>
      </c>
      <c r="Q42" t="b">
        <v>1</v>
      </c>
      <c r="R42">
        <v>0</v>
      </c>
      <c r="S42">
        <v>0</v>
      </c>
    </row>
    <row r="43" spans="1:20" x14ac:dyDescent="0.25">
      <c r="A43" t="s">
        <v>94</v>
      </c>
      <c r="B43" t="s">
        <v>60</v>
      </c>
      <c r="C43" t="s">
        <v>52</v>
      </c>
      <c r="D43">
        <v>0</v>
      </c>
      <c r="E43">
        <v>0</v>
      </c>
      <c r="F43">
        <v>0</v>
      </c>
      <c r="H43">
        <v>0</v>
      </c>
      <c r="I43">
        <v>0</v>
      </c>
      <c r="J43">
        <v>0</v>
      </c>
      <c r="M43">
        <v>0</v>
      </c>
      <c r="N43">
        <v>0</v>
      </c>
      <c r="O43">
        <v>0</v>
      </c>
      <c r="P43" t="b">
        <v>1</v>
      </c>
      <c r="Q43" t="b">
        <v>1</v>
      </c>
      <c r="R43">
        <v>0</v>
      </c>
      <c r="S43">
        <v>0</v>
      </c>
    </row>
    <row r="44" spans="1:20" x14ac:dyDescent="0.25">
      <c r="A44" t="s">
        <v>95</v>
      </c>
      <c r="B44" t="s">
        <v>51</v>
      </c>
      <c r="C44" t="s">
        <v>49</v>
      </c>
      <c r="D44">
        <v>0</v>
      </c>
      <c r="E44">
        <v>2</v>
      </c>
      <c r="F44">
        <v>0</v>
      </c>
      <c r="G44">
        <v>0</v>
      </c>
      <c r="H44">
        <v>0</v>
      </c>
      <c r="I44">
        <v>2</v>
      </c>
      <c r="J44">
        <v>0</v>
      </c>
      <c r="K44">
        <v>0</v>
      </c>
      <c r="M44">
        <v>0</v>
      </c>
      <c r="N44">
        <v>2</v>
      </c>
      <c r="O44">
        <v>0</v>
      </c>
      <c r="P44" t="b">
        <v>0</v>
      </c>
      <c r="Q44" t="b">
        <v>0</v>
      </c>
      <c r="R44">
        <v>0</v>
      </c>
      <c r="S44">
        <v>0</v>
      </c>
    </row>
    <row r="45" spans="1:20" x14ac:dyDescent="0.25">
      <c r="A45" t="s">
        <v>96</v>
      </c>
      <c r="B45" t="s">
        <v>54</v>
      </c>
      <c r="C45" t="s">
        <v>49</v>
      </c>
      <c r="D45">
        <v>0</v>
      </c>
      <c r="E45">
        <v>0</v>
      </c>
      <c r="F45">
        <v>0</v>
      </c>
      <c r="H45">
        <v>0</v>
      </c>
      <c r="I45">
        <v>0</v>
      </c>
      <c r="J45">
        <v>0</v>
      </c>
      <c r="M45">
        <v>0</v>
      </c>
      <c r="N45">
        <v>0</v>
      </c>
      <c r="O45">
        <v>0</v>
      </c>
      <c r="P45" t="b">
        <v>1</v>
      </c>
      <c r="Q45" t="b">
        <v>1</v>
      </c>
      <c r="R45">
        <v>0</v>
      </c>
      <c r="S45">
        <v>0</v>
      </c>
    </row>
    <row r="46" spans="1:20" x14ac:dyDescent="0.25">
      <c r="A46" t="s">
        <v>97</v>
      </c>
      <c r="B46" t="s">
        <v>60</v>
      </c>
      <c r="C46" t="s">
        <v>52</v>
      </c>
      <c r="D46">
        <v>0</v>
      </c>
      <c r="E46">
        <v>0</v>
      </c>
      <c r="F46">
        <v>0</v>
      </c>
      <c r="H46">
        <v>0</v>
      </c>
      <c r="I46">
        <v>0</v>
      </c>
      <c r="J46">
        <v>0</v>
      </c>
      <c r="M46">
        <v>0</v>
      </c>
      <c r="N46">
        <v>0</v>
      </c>
      <c r="O46">
        <v>0</v>
      </c>
      <c r="P46" t="b">
        <v>1</v>
      </c>
      <c r="Q46" t="b">
        <v>1</v>
      </c>
      <c r="R46">
        <v>0</v>
      </c>
      <c r="S46">
        <v>0</v>
      </c>
    </row>
    <row r="47" spans="1:20" x14ac:dyDescent="0.25">
      <c r="A47" t="s">
        <v>98</v>
      </c>
      <c r="B47" t="s">
        <v>48</v>
      </c>
      <c r="C47" t="s">
        <v>49</v>
      </c>
      <c r="D47">
        <v>20</v>
      </c>
      <c r="E47">
        <v>20</v>
      </c>
      <c r="F47">
        <v>14</v>
      </c>
      <c r="G47">
        <v>0.53846153846153844</v>
      </c>
      <c r="H47">
        <v>20</v>
      </c>
      <c r="I47">
        <v>20</v>
      </c>
      <c r="J47">
        <v>13</v>
      </c>
      <c r="K47">
        <v>0.48148148148148151</v>
      </c>
      <c r="L47">
        <v>0.9285714285714286</v>
      </c>
      <c r="M47">
        <v>20</v>
      </c>
      <c r="N47">
        <v>20</v>
      </c>
      <c r="O47">
        <v>12</v>
      </c>
      <c r="P47" t="b">
        <v>0</v>
      </c>
      <c r="Q47" t="b">
        <v>0</v>
      </c>
      <c r="R47">
        <v>13</v>
      </c>
      <c r="S47">
        <v>12</v>
      </c>
      <c r="T47">
        <v>0.92307692307692313</v>
      </c>
    </row>
    <row r="48" spans="1:20" x14ac:dyDescent="0.25">
      <c r="A48" t="s">
        <v>99</v>
      </c>
      <c r="B48" t="s">
        <v>51</v>
      </c>
      <c r="C48" t="s">
        <v>52</v>
      </c>
      <c r="D48">
        <v>2</v>
      </c>
      <c r="E48">
        <v>2</v>
      </c>
      <c r="F48">
        <v>2</v>
      </c>
      <c r="G48">
        <v>1</v>
      </c>
      <c r="H48">
        <v>2</v>
      </c>
      <c r="I48">
        <v>2</v>
      </c>
      <c r="J48">
        <v>2</v>
      </c>
      <c r="K48">
        <v>1</v>
      </c>
      <c r="L48">
        <v>1</v>
      </c>
      <c r="M48">
        <v>2</v>
      </c>
      <c r="N48">
        <v>2</v>
      </c>
      <c r="O48">
        <v>2</v>
      </c>
      <c r="P48" t="b">
        <v>1</v>
      </c>
      <c r="Q48" t="b">
        <v>0</v>
      </c>
      <c r="R48">
        <v>2</v>
      </c>
      <c r="S48">
        <v>2</v>
      </c>
      <c r="T48">
        <v>1</v>
      </c>
    </row>
    <row r="49" spans="1:20" x14ac:dyDescent="0.25">
      <c r="A49" t="s">
        <v>100</v>
      </c>
      <c r="B49" t="s">
        <v>51</v>
      </c>
      <c r="C49" t="s">
        <v>49</v>
      </c>
      <c r="D49">
        <v>0</v>
      </c>
      <c r="E49">
        <v>9</v>
      </c>
      <c r="F49">
        <v>0</v>
      </c>
      <c r="G49">
        <v>0</v>
      </c>
      <c r="H49">
        <v>0</v>
      </c>
      <c r="I49">
        <v>10</v>
      </c>
      <c r="J49">
        <v>0</v>
      </c>
      <c r="K49">
        <v>0</v>
      </c>
      <c r="M49">
        <v>0</v>
      </c>
      <c r="N49">
        <v>10</v>
      </c>
      <c r="O49">
        <v>0</v>
      </c>
      <c r="P49" t="b">
        <v>0</v>
      </c>
      <c r="Q49" t="b">
        <v>0</v>
      </c>
      <c r="R49">
        <v>0</v>
      </c>
      <c r="S49">
        <v>0</v>
      </c>
    </row>
    <row r="50" spans="1:20" x14ac:dyDescent="0.25">
      <c r="A50" t="s">
        <v>101</v>
      </c>
      <c r="B50" t="s">
        <v>54</v>
      </c>
      <c r="C50" t="s">
        <v>52</v>
      </c>
      <c r="D50">
        <v>0</v>
      </c>
      <c r="E50">
        <v>0</v>
      </c>
      <c r="F50">
        <v>0</v>
      </c>
      <c r="H50">
        <v>0</v>
      </c>
      <c r="I50">
        <v>0</v>
      </c>
      <c r="J50">
        <v>0</v>
      </c>
      <c r="M50">
        <v>0</v>
      </c>
      <c r="N50">
        <v>0</v>
      </c>
      <c r="O50">
        <v>0</v>
      </c>
      <c r="P50" t="b">
        <v>1</v>
      </c>
      <c r="Q50" t="b">
        <v>1</v>
      </c>
      <c r="R50">
        <v>0</v>
      </c>
      <c r="S50">
        <v>0</v>
      </c>
    </row>
    <row r="51" spans="1:20" x14ac:dyDescent="0.25">
      <c r="A51" t="s">
        <v>102</v>
      </c>
      <c r="B51" t="s">
        <v>51</v>
      </c>
      <c r="C51" t="s">
        <v>52</v>
      </c>
      <c r="D51">
        <v>3</v>
      </c>
      <c r="E51">
        <v>3</v>
      </c>
      <c r="F51">
        <v>3</v>
      </c>
      <c r="G51">
        <v>1</v>
      </c>
      <c r="H51">
        <v>3</v>
      </c>
      <c r="I51">
        <v>3</v>
      </c>
      <c r="J51">
        <v>1</v>
      </c>
      <c r="K51">
        <v>0.2</v>
      </c>
      <c r="L51">
        <v>0.33333333333333331</v>
      </c>
      <c r="M51">
        <v>3</v>
      </c>
      <c r="N51">
        <v>3</v>
      </c>
      <c r="O51">
        <v>1</v>
      </c>
      <c r="P51" t="b">
        <v>0</v>
      </c>
      <c r="Q51" t="b">
        <v>0</v>
      </c>
      <c r="R51">
        <v>1</v>
      </c>
      <c r="S51">
        <v>1</v>
      </c>
      <c r="T51">
        <v>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4.4" x14ac:dyDescent="0.25"/>
  <sheetData>
    <row r="1" spans="1:9" x14ac:dyDescent="0.25">
      <c r="A1" s="1" t="s">
        <v>28</v>
      </c>
      <c r="B1" s="1" t="s">
        <v>29</v>
      </c>
      <c r="C1" s="1" t="s">
        <v>103</v>
      </c>
      <c r="D1" s="1" t="s">
        <v>104</v>
      </c>
      <c r="E1" s="1" t="s">
        <v>105</v>
      </c>
      <c r="F1" s="1" t="s">
        <v>38</v>
      </c>
      <c r="G1" s="1" t="s">
        <v>46</v>
      </c>
      <c r="H1" s="1" t="s">
        <v>106</v>
      </c>
      <c r="I1" s="1" t="s">
        <v>107</v>
      </c>
    </row>
    <row r="2" spans="1:9" x14ac:dyDescent="0.25">
      <c r="A2" t="s">
        <v>51</v>
      </c>
      <c r="B2" t="s">
        <v>49</v>
      </c>
      <c r="C2">
        <v>6</v>
      </c>
      <c r="D2">
        <v>0.27380952380952378</v>
      </c>
      <c r="E2">
        <v>0.24945054945054951</v>
      </c>
      <c r="F2">
        <v>0.95238095238095244</v>
      </c>
      <c r="G2">
        <v>1</v>
      </c>
      <c r="H2">
        <v>0.16666666666666671</v>
      </c>
      <c r="I2">
        <v>1</v>
      </c>
    </row>
    <row r="3" spans="1:9" x14ac:dyDescent="0.25">
      <c r="A3" t="s">
        <v>51</v>
      </c>
      <c r="B3" t="s">
        <v>52</v>
      </c>
      <c r="C3">
        <v>6</v>
      </c>
      <c r="D3">
        <v>0.83333333333333326</v>
      </c>
      <c r="E3">
        <v>0.55000000000000004</v>
      </c>
      <c r="F3">
        <v>0.58333333333333337</v>
      </c>
      <c r="G3">
        <v>1</v>
      </c>
      <c r="H3">
        <v>0.66666666666666663</v>
      </c>
      <c r="I3">
        <v>2</v>
      </c>
    </row>
    <row r="4" spans="1:9" x14ac:dyDescent="0.25">
      <c r="A4" t="s">
        <v>60</v>
      </c>
      <c r="B4" t="s">
        <v>49</v>
      </c>
      <c r="C4">
        <v>7</v>
      </c>
      <c r="D4">
        <v>0.48809523809523803</v>
      </c>
      <c r="E4">
        <v>0.4464285714285714</v>
      </c>
      <c r="F4">
        <v>0.94444444444444453</v>
      </c>
      <c r="G4">
        <v>1</v>
      </c>
      <c r="H4">
        <v>0.5714285714285714</v>
      </c>
      <c r="I4">
        <v>3</v>
      </c>
    </row>
    <row r="5" spans="1:9" x14ac:dyDescent="0.25">
      <c r="A5" t="s">
        <v>60</v>
      </c>
      <c r="B5" t="s">
        <v>52</v>
      </c>
      <c r="C5">
        <v>6</v>
      </c>
      <c r="D5">
        <v>1</v>
      </c>
      <c r="E5">
        <v>0.5</v>
      </c>
      <c r="F5">
        <v>0.5</v>
      </c>
      <c r="G5">
        <v>1</v>
      </c>
      <c r="H5">
        <v>0.83333333333333337</v>
      </c>
      <c r="I5">
        <v>4</v>
      </c>
    </row>
    <row r="6" spans="1:9" x14ac:dyDescent="0.25">
      <c r="A6" t="s">
        <v>48</v>
      </c>
      <c r="B6" t="s">
        <v>49</v>
      </c>
      <c r="C6">
        <v>7</v>
      </c>
      <c r="D6">
        <v>0.31715506715506708</v>
      </c>
      <c r="E6">
        <v>0.26273148148148151</v>
      </c>
      <c r="F6">
        <v>0.80952380952380965</v>
      </c>
      <c r="G6">
        <v>0.97435897435897445</v>
      </c>
      <c r="H6">
        <v>0.42857142857142849</v>
      </c>
      <c r="I6">
        <v>3</v>
      </c>
    </row>
    <row r="7" spans="1:9" x14ac:dyDescent="0.25">
      <c r="A7" t="s">
        <v>48</v>
      </c>
      <c r="B7" t="s">
        <v>52</v>
      </c>
      <c r="C7">
        <v>6</v>
      </c>
      <c r="D7">
        <v>1</v>
      </c>
      <c r="E7">
        <v>1</v>
      </c>
      <c r="F7">
        <v>1</v>
      </c>
      <c r="G7">
        <v>1</v>
      </c>
      <c r="H7">
        <v>1</v>
      </c>
      <c r="I7">
        <v>3</v>
      </c>
    </row>
    <row r="8" spans="1:9" x14ac:dyDescent="0.25">
      <c r="A8" t="s">
        <v>54</v>
      </c>
      <c r="B8" t="s">
        <v>49</v>
      </c>
      <c r="C8">
        <v>6</v>
      </c>
      <c r="H8">
        <v>1</v>
      </c>
      <c r="I8">
        <v>6</v>
      </c>
    </row>
    <row r="9" spans="1:9" x14ac:dyDescent="0.25">
      <c r="A9" t="s">
        <v>54</v>
      </c>
      <c r="B9" t="s">
        <v>52</v>
      </c>
      <c r="C9">
        <v>6</v>
      </c>
      <c r="D9">
        <v>1</v>
      </c>
      <c r="E9">
        <v>1</v>
      </c>
      <c r="F9">
        <v>1</v>
      </c>
      <c r="G9">
        <v>1</v>
      </c>
      <c r="H9">
        <v>1</v>
      </c>
      <c r="I9">
        <v>4</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3"/>
  <sheetViews>
    <sheetView workbookViewId="0">
      <selection activeCell="B16" sqref="B16"/>
    </sheetView>
  </sheetViews>
  <sheetFormatPr defaultRowHeight="14.4" x14ac:dyDescent="0.25"/>
  <sheetData>
    <row r="1" spans="1:5" x14ac:dyDescent="0.25">
      <c r="A1" s="1" t="s">
        <v>27</v>
      </c>
      <c r="B1" s="1" t="s">
        <v>108</v>
      </c>
      <c r="C1" s="1" t="s">
        <v>109</v>
      </c>
      <c r="D1" s="1" t="s">
        <v>110</v>
      </c>
      <c r="E1" s="1" t="s">
        <v>111</v>
      </c>
    </row>
    <row r="2" spans="1:5" x14ac:dyDescent="0.25">
      <c r="A2" t="s">
        <v>99</v>
      </c>
      <c r="B2" t="s">
        <v>112</v>
      </c>
      <c r="C2" t="s">
        <v>113</v>
      </c>
      <c r="D2" t="s">
        <v>113</v>
      </c>
      <c r="E2" t="b">
        <v>1</v>
      </c>
    </row>
    <row r="3" spans="1:5" x14ac:dyDescent="0.25">
      <c r="A3" t="s">
        <v>99</v>
      </c>
      <c r="B3" t="s">
        <v>114</v>
      </c>
      <c r="C3" t="s">
        <v>115</v>
      </c>
      <c r="D3" t="s">
        <v>115</v>
      </c>
      <c r="E3" t="b">
        <v>1</v>
      </c>
    </row>
    <row r="4" spans="1:5" x14ac:dyDescent="0.25">
      <c r="A4" t="s">
        <v>50</v>
      </c>
      <c r="B4" t="s">
        <v>116</v>
      </c>
      <c r="C4" t="s">
        <v>113</v>
      </c>
      <c r="D4" t="s">
        <v>113</v>
      </c>
      <c r="E4" t="b">
        <v>1</v>
      </c>
    </row>
    <row r="5" spans="1:5" x14ac:dyDescent="0.25">
      <c r="A5" t="s">
        <v>83</v>
      </c>
      <c r="B5" t="s">
        <v>117</v>
      </c>
      <c r="C5" t="s">
        <v>118</v>
      </c>
      <c r="D5" t="s">
        <v>118</v>
      </c>
      <c r="E5" t="b">
        <v>1</v>
      </c>
    </row>
    <row r="6" spans="1:5" x14ac:dyDescent="0.25">
      <c r="A6" t="s">
        <v>83</v>
      </c>
      <c r="B6" t="s">
        <v>119</v>
      </c>
      <c r="C6" t="s">
        <v>118</v>
      </c>
      <c r="D6" t="s">
        <v>118</v>
      </c>
      <c r="E6" t="b">
        <v>1</v>
      </c>
    </row>
    <row r="7" spans="1:5" x14ac:dyDescent="0.25">
      <c r="A7" t="s">
        <v>73</v>
      </c>
      <c r="B7" t="s">
        <v>120</v>
      </c>
      <c r="C7" t="s">
        <v>113</v>
      </c>
      <c r="D7" t="s">
        <v>118</v>
      </c>
      <c r="E7" t="b">
        <v>0</v>
      </c>
    </row>
    <row r="8" spans="1:5" x14ac:dyDescent="0.25">
      <c r="A8" t="s">
        <v>73</v>
      </c>
      <c r="B8" t="s">
        <v>121</v>
      </c>
      <c r="C8" t="s">
        <v>118</v>
      </c>
      <c r="D8" t="s">
        <v>118</v>
      </c>
      <c r="E8" t="b">
        <v>1</v>
      </c>
    </row>
    <row r="9" spans="1:5" x14ac:dyDescent="0.25">
      <c r="A9" t="s">
        <v>61</v>
      </c>
      <c r="B9" t="s">
        <v>122</v>
      </c>
      <c r="C9" t="s">
        <v>123</v>
      </c>
      <c r="D9" t="s">
        <v>123</v>
      </c>
      <c r="E9" t="b">
        <v>1</v>
      </c>
    </row>
    <row r="10" spans="1:5" x14ac:dyDescent="0.25">
      <c r="A10" t="s">
        <v>61</v>
      </c>
      <c r="B10" t="s">
        <v>124</v>
      </c>
      <c r="C10" t="s">
        <v>113</v>
      </c>
      <c r="D10" t="s">
        <v>113</v>
      </c>
      <c r="E10" t="b">
        <v>1</v>
      </c>
    </row>
    <row r="11" spans="1:5" x14ac:dyDescent="0.25">
      <c r="A11" t="s">
        <v>61</v>
      </c>
      <c r="B11" t="s">
        <v>125</v>
      </c>
      <c r="C11" t="s">
        <v>113</v>
      </c>
      <c r="D11" t="s">
        <v>113</v>
      </c>
      <c r="E11" t="b">
        <v>1</v>
      </c>
    </row>
    <row r="12" spans="1:5" x14ac:dyDescent="0.25">
      <c r="A12" t="s">
        <v>92</v>
      </c>
      <c r="B12" t="s">
        <v>126</v>
      </c>
      <c r="C12" t="s">
        <v>127</v>
      </c>
      <c r="D12" t="s">
        <v>113</v>
      </c>
      <c r="E12" t="b">
        <v>0</v>
      </c>
    </row>
    <row r="13" spans="1:5" x14ac:dyDescent="0.25">
      <c r="A13" t="s">
        <v>81</v>
      </c>
      <c r="B13" t="s">
        <v>128</v>
      </c>
      <c r="C13" t="s">
        <v>127</v>
      </c>
      <c r="D13" t="s">
        <v>127</v>
      </c>
      <c r="E13" t="b">
        <v>1</v>
      </c>
    </row>
    <row r="14" spans="1:5" x14ac:dyDescent="0.25">
      <c r="A14" t="s">
        <v>77</v>
      </c>
      <c r="B14" t="s">
        <v>129</v>
      </c>
      <c r="C14" t="s">
        <v>118</v>
      </c>
      <c r="D14" t="s">
        <v>118</v>
      </c>
      <c r="E14" t="b">
        <v>1</v>
      </c>
    </row>
    <row r="15" spans="1:5" x14ac:dyDescent="0.25">
      <c r="A15" t="s">
        <v>86</v>
      </c>
      <c r="B15" t="s">
        <v>130</v>
      </c>
      <c r="C15" t="s">
        <v>115</v>
      </c>
      <c r="D15" t="s">
        <v>115</v>
      </c>
      <c r="E15" t="b">
        <v>1</v>
      </c>
    </row>
    <row r="16" spans="1:5" x14ac:dyDescent="0.25">
      <c r="A16" t="s">
        <v>86</v>
      </c>
      <c r="B16" t="s">
        <v>131</v>
      </c>
      <c r="C16" t="s">
        <v>118</v>
      </c>
      <c r="D16" t="s">
        <v>118</v>
      </c>
      <c r="E16" t="b">
        <v>1</v>
      </c>
    </row>
    <row r="17" spans="1:5" x14ac:dyDescent="0.25">
      <c r="A17" t="s">
        <v>86</v>
      </c>
      <c r="B17" t="s">
        <v>132</v>
      </c>
      <c r="C17" t="s">
        <v>113</v>
      </c>
      <c r="D17" t="s">
        <v>113</v>
      </c>
      <c r="E17" t="b">
        <v>1</v>
      </c>
    </row>
    <row r="18" spans="1:5" x14ac:dyDescent="0.25">
      <c r="A18" t="s">
        <v>86</v>
      </c>
      <c r="B18" t="s">
        <v>133</v>
      </c>
      <c r="C18" t="s">
        <v>118</v>
      </c>
      <c r="D18" t="s">
        <v>113</v>
      </c>
      <c r="E18" t="b">
        <v>0</v>
      </c>
    </row>
    <row r="19" spans="1:5" x14ac:dyDescent="0.25">
      <c r="A19" t="s">
        <v>86</v>
      </c>
      <c r="B19" t="s">
        <v>134</v>
      </c>
      <c r="C19" t="s">
        <v>118</v>
      </c>
      <c r="D19" t="s">
        <v>118</v>
      </c>
      <c r="E19" t="b">
        <v>1</v>
      </c>
    </row>
    <row r="20" spans="1:5" x14ac:dyDescent="0.25">
      <c r="A20" t="s">
        <v>86</v>
      </c>
      <c r="B20" t="s">
        <v>135</v>
      </c>
      <c r="C20" t="s">
        <v>113</v>
      </c>
      <c r="D20" t="s">
        <v>113</v>
      </c>
      <c r="E20" t="b">
        <v>1</v>
      </c>
    </row>
    <row r="21" spans="1:5" x14ac:dyDescent="0.25">
      <c r="A21" t="s">
        <v>62</v>
      </c>
      <c r="B21" t="s">
        <v>136</v>
      </c>
      <c r="C21" t="s">
        <v>118</v>
      </c>
      <c r="D21" t="s">
        <v>118</v>
      </c>
      <c r="E21" t="b">
        <v>1</v>
      </c>
    </row>
    <row r="22" spans="1:5" x14ac:dyDescent="0.25">
      <c r="A22" t="s">
        <v>62</v>
      </c>
      <c r="B22" t="s">
        <v>137</v>
      </c>
      <c r="C22" t="s">
        <v>123</v>
      </c>
      <c r="D22" t="s">
        <v>123</v>
      </c>
      <c r="E22" t="b">
        <v>1</v>
      </c>
    </row>
    <row r="23" spans="1:5" x14ac:dyDescent="0.25">
      <c r="A23" t="s">
        <v>62</v>
      </c>
      <c r="B23" t="s">
        <v>138</v>
      </c>
      <c r="C23" t="s">
        <v>123</v>
      </c>
      <c r="D23" t="s">
        <v>123</v>
      </c>
      <c r="E23" t="b">
        <v>1</v>
      </c>
    </row>
    <row r="24" spans="1:5" x14ac:dyDescent="0.25">
      <c r="A24" t="s">
        <v>78</v>
      </c>
      <c r="B24" t="s">
        <v>139</v>
      </c>
      <c r="C24" t="s">
        <v>113</v>
      </c>
      <c r="D24" t="s">
        <v>113</v>
      </c>
      <c r="E24" t="b">
        <v>1</v>
      </c>
    </row>
    <row r="25" spans="1:5" x14ac:dyDescent="0.25">
      <c r="A25" t="s">
        <v>78</v>
      </c>
      <c r="B25" t="s">
        <v>140</v>
      </c>
      <c r="C25" t="s">
        <v>118</v>
      </c>
      <c r="D25" t="s">
        <v>118</v>
      </c>
      <c r="E25" t="b">
        <v>1</v>
      </c>
    </row>
    <row r="26" spans="1:5" x14ac:dyDescent="0.25">
      <c r="A26" t="s">
        <v>87</v>
      </c>
      <c r="B26" t="s">
        <v>141</v>
      </c>
      <c r="C26" t="s">
        <v>142</v>
      </c>
      <c r="D26" t="s">
        <v>142</v>
      </c>
      <c r="E26" t="b">
        <v>1</v>
      </c>
    </row>
    <row r="27" spans="1:5" x14ac:dyDescent="0.25">
      <c r="A27" t="s">
        <v>87</v>
      </c>
      <c r="B27" t="s">
        <v>143</v>
      </c>
      <c r="C27" t="s">
        <v>123</v>
      </c>
      <c r="D27" t="s">
        <v>123</v>
      </c>
      <c r="E27" t="b">
        <v>1</v>
      </c>
    </row>
    <row r="28" spans="1:5" x14ac:dyDescent="0.25">
      <c r="A28" t="s">
        <v>87</v>
      </c>
      <c r="B28" t="s">
        <v>144</v>
      </c>
      <c r="C28" t="s">
        <v>142</v>
      </c>
      <c r="D28" t="s">
        <v>142</v>
      </c>
      <c r="E28" t="b">
        <v>1</v>
      </c>
    </row>
    <row r="29" spans="1:5" x14ac:dyDescent="0.25">
      <c r="A29" t="s">
        <v>102</v>
      </c>
      <c r="B29" t="s">
        <v>145</v>
      </c>
      <c r="C29" t="s">
        <v>123</v>
      </c>
      <c r="D29" t="s">
        <v>123</v>
      </c>
      <c r="E29" t="b">
        <v>1</v>
      </c>
    </row>
    <row r="30" spans="1:5" x14ac:dyDescent="0.25">
      <c r="A30" t="s">
        <v>102</v>
      </c>
      <c r="B30" t="s">
        <v>146</v>
      </c>
      <c r="C30" t="s">
        <v>142</v>
      </c>
      <c r="D30" t="s">
        <v>123</v>
      </c>
      <c r="E30" t="b">
        <v>0</v>
      </c>
    </row>
    <row r="31" spans="1:5" x14ac:dyDescent="0.25">
      <c r="A31" t="s">
        <v>102</v>
      </c>
      <c r="B31" t="s">
        <v>147</v>
      </c>
      <c r="C31" t="s">
        <v>115</v>
      </c>
      <c r="D31" t="s">
        <v>123</v>
      </c>
      <c r="E31" t="b">
        <v>0</v>
      </c>
    </row>
    <row r="32" spans="1:5" x14ac:dyDescent="0.25">
      <c r="A32" t="s">
        <v>74</v>
      </c>
      <c r="B32" t="s">
        <v>148</v>
      </c>
      <c r="C32" t="s">
        <v>118</v>
      </c>
      <c r="D32" t="s">
        <v>118</v>
      </c>
      <c r="E32" t="b">
        <v>1</v>
      </c>
    </row>
    <row r="33" spans="1:5" x14ac:dyDescent="0.25">
      <c r="A33" t="s">
        <v>74</v>
      </c>
      <c r="B33" t="s">
        <v>149</v>
      </c>
      <c r="C33" t="s">
        <v>113</v>
      </c>
      <c r="D33" t="s">
        <v>113</v>
      </c>
      <c r="E33" t="b">
        <v>1</v>
      </c>
    </row>
    <row r="34" spans="1:5" x14ac:dyDescent="0.25">
      <c r="A34" t="s">
        <v>98</v>
      </c>
      <c r="B34" t="s">
        <v>150</v>
      </c>
      <c r="C34" t="s">
        <v>118</v>
      </c>
      <c r="D34" t="s">
        <v>118</v>
      </c>
      <c r="E34" t="b">
        <v>1</v>
      </c>
    </row>
    <row r="35" spans="1:5" x14ac:dyDescent="0.25">
      <c r="A35" t="s">
        <v>98</v>
      </c>
      <c r="B35" t="s">
        <v>151</v>
      </c>
      <c r="C35" t="s">
        <v>123</v>
      </c>
      <c r="D35" t="s">
        <v>123</v>
      </c>
      <c r="E35" t="b">
        <v>1</v>
      </c>
    </row>
    <row r="36" spans="1:5" x14ac:dyDescent="0.25">
      <c r="A36" t="s">
        <v>98</v>
      </c>
      <c r="B36" t="s">
        <v>152</v>
      </c>
      <c r="C36" t="s">
        <v>113</v>
      </c>
      <c r="D36" t="s">
        <v>113</v>
      </c>
      <c r="E36" t="b">
        <v>1</v>
      </c>
    </row>
    <row r="37" spans="1:5" x14ac:dyDescent="0.25">
      <c r="A37" t="s">
        <v>98</v>
      </c>
      <c r="B37" t="s">
        <v>153</v>
      </c>
      <c r="C37" t="s">
        <v>154</v>
      </c>
      <c r="D37" t="s">
        <v>154</v>
      </c>
      <c r="E37" t="b">
        <v>1</v>
      </c>
    </row>
    <row r="38" spans="1:5" x14ac:dyDescent="0.25">
      <c r="A38" t="s">
        <v>98</v>
      </c>
      <c r="B38" t="s">
        <v>155</v>
      </c>
      <c r="C38" t="s">
        <v>118</v>
      </c>
      <c r="D38" t="s">
        <v>123</v>
      </c>
      <c r="E38" t="b">
        <v>0</v>
      </c>
    </row>
    <row r="39" spans="1:5" x14ac:dyDescent="0.25">
      <c r="A39" t="s">
        <v>98</v>
      </c>
      <c r="B39" t="s">
        <v>156</v>
      </c>
      <c r="C39" t="s">
        <v>157</v>
      </c>
      <c r="D39" t="s">
        <v>157</v>
      </c>
      <c r="E39" t="b">
        <v>1</v>
      </c>
    </row>
    <row r="40" spans="1:5" x14ac:dyDescent="0.25">
      <c r="A40" t="s">
        <v>98</v>
      </c>
      <c r="B40" t="s">
        <v>158</v>
      </c>
      <c r="C40" t="s">
        <v>113</v>
      </c>
      <c r="D40" t="s">
        <v>113</v>
      </c>
      <c r="E40" t="b">
        <v>1</v>
      </c>
    </row>
    <row r="41" spans="1:5" x14ac:dyDescent="0.25">
      <c r="A41" t="s">
        <v>98</v>
      </c>
      <c r="B41" t="s">
        <v>159</v>
      </c>
      <c r="C41" t="s">
        <v>154</v>
      </c>
      <c r="D41" t="s">
        <v>154</v>
      </c>
      <c r="E41" t="b">
        <v>1</v>
      </c>
    </row>
    <row r="42" spans="1:5" x14ac:dyDescent="0.25">
      <c r="A42" t="s">
        <v>98</v>
      </c>
      <c r="B42" t="s">
        <v>160</v>
      </c>
      <c r="C42" t="s">
        <v>118</v>
      </c>
      <c r="D42" t="s">
        <v>118</v>
      </c>
      <c r="E42" t="b">
        <v>1</v>
      </c>
    </row>
    <row r="43" spans="1:5" x14ac:dyDescent="0.25">
      <c r="A43" t="s">
        <v>98</v>
      </c>
      <c r="B43" t="s">
        <v>161</v>
      </c>
      <c r="C43" t="s">
        <v>154</v>
      </c>
      <c r="D43" t="s">
        <v>154</v>
      </c>
      <c r="E43" t="b">
        <v>1</v>
      </c>
    </row>
    <row r="44" spans="1:5" x14ac:dyDescent="0.25">
      <c r="A44" t="s">
        <v>98</v>
      </c>
      <c r="B44" t="s">
        <v>162</v>
      </c>
      <c r="C44" t="s">
        <v>163</v>
      </c>
      <c r="D44" t="s">
        <v>163</v>
      </c>
      <c r="E44" t="b">
        <v>1</v>
      </c>
    </row>
    <row r="45" spans="1:5" x14ac:dyDescent="0.25">
      <c r="A45" t="s">
        <v>98</v>
      </c>
      <c r="B45" t="s">
        <v>164</v>
      </c>
      <c r="C45" t="s">
        <v>123</v>
      </c>
      <c r="D45" t="s">
        <v>123</v>
      </c>
      <c r="E45" t="b">
        <v>1</v>
      </c>
    </row>
    <row r="46" spans="1:5" x14ac:dyDescent="0.25">
      <c r="A46" t="s">
        <v>98</v>
      </c>
      <c r="B46" t="s">
        <v>165</v>
      </c>
      <c r="C46" t="s">
        <v>127</v>
      </c>
      <c r="D46" t="s">
        <v>127</v>
      </c>
      <c r="E46" t="b">
        <v>1</v>
      </c>
    </row>
    <row r="47" spans="1:5" x14ac:dyDescent="0.25">
      <c r="A47" t="s">
        <v>98</v>
      </c>
      <c r="B47" t="s">
        <v>166</v>
      </c>
      <c r="C47" t="s">
        <v>157</v>
      </c>
      <c r="D47" t="s">
        <v>157</v>
      </c>
      <c r="E47" t="b">
        <v>1</v>
      </c>
    </row>
    <row r="48" spans="1:5" x14ac:dyDescent="0.25">
      <c r="A48" t="s">
        <v>91</v>
      </c>
      <c r="B48" t="s">
        <v>167</v>
      </c>
      <c r="C48" t="s">
        <v>154</v>
      </c>
      <c r="D48" t="s">
        <v>123</v>
      </c>
      <c r="E48" t="b">
        <v>0</v>
      </c>
    </row>
    <row r="49" spans="1:5" x14ac:dyDescent="0.25">
      <c r="A49" t="s">
        <v>56</v>
      </c>
      <c r="B49" t="s">
        <v>168</v>
      </c>
      <c r="C49" t="s">
        <v>127</v>
      </c>
      <c r="D49" t="s">
        <v>127</v>
      </c>
      <c r="E49" t="b">
        <v>1</v>
      </c>
    </row>
    <row r="50" spans="1:5" x14ac:dyDescent="0.25">
      <c r="A50" t="s">
        <v>56</v>
      </c>
      <c r="B50" t="s">
        <v>169</v>
      </c>
      <c r="C50" t="s">
        <v>113</v>
      </c>
      <c r="D50" t="s">
        <v>123</v>
      </c>
      <c r="E50" t="b">
        <v>0</v>
      </c>
    </row>
    <row r="51" spans="1:5" x14ac:dyDescent="0.25">
      <c r="A51" t="s">
        <v>56</v>
      </c>
      <c r="B51" t="s">
        <v>170</v>
      </c>
      <c r="C51" t="s">
        <v>123</v>
      </c>
      <c r="D51" t="s">
        <v>123</v>
      </c>
      <c r="E51" t="b">
        <v>1</v>
      </c>
    </row>
    <row r="52" spans="1:5" x14ac:dyDescent="0.25">
      <c r="A52" t="s">
        <v>56</v>
      </c>
      <c r="B52" t="s">
        <v>171</v>
      </c>
      <c r="C52" t="s">
        <v>118</v>
      </c>
      <c r="D52" t="s">
        <v>118</v>
      </c>
      <c r="E52" t="b">
        <v>1</v>
      </c>
    </row>
    <row r="53" spans="1:5" x14ac:dyDescent="0.25">
      <c r="A53" t="s">
        <v>56</v>
      </c>
      <c r="B53" t="s">
        <v>172</v>
      </c>
      <c r="C53" t="s">
        <v>123</v>
      </c>
      <c r="D53" t="s">
        <v>123</v>
      </c>
      <c r="E53" t="b">
        <v>1</v>
      </c>
    </row>
    <row r="54" spans="1:5" x14ac:dyDescent="0.25">
      <c r="A54" t="s">
        <v>56</v>
      </c>
      <c r="B54" t="s">
        <v>173</v>
      </c>
      <c r="C54" t="s">
        <v>123</v>
      </c>
      <c r="D54" t="s">
        <v>123</v>
      </c>
      <c r="E54" t="b">
        <v>1</v>
      </c>
    </row>
    <row r="55" spans="1:5" x14ac:dyDescent="0.25">
      <c r="A55" t="s">
        <v>56</v>
      </c>
      <c r="B55" t="s">
        <v>174</v>
      </c>
      <c r="C55" t="s">
        <v>118</v>
      </c>
      <c r="D55" t="s">
        <v>118</v>
      </c>
      <c r="E55" t="b">
        <v>1</v>
      </c>
    </row>
    <row r="56" spans="1:5" x14ac:dyDescent="0.25">
      <c r="A56" t="s">
        <v>76</v>
      </c>
      <c r="B56" t="s">
        <v>175</v>
      </c>
      <c r="C56" t="s">
        <v>123</v>
      </c>
      <c r="D56" t="s">
        <v>123</v>
      </c>
      <c r="E56" t="b">
        <v>1</v>
      </c>
    </row>
    <row r="57" spans="1:5" x14ac:dyDescent="0.25">
      <c r="A57" t="s">
        <v>76</v>
      </c>
      <c r="B57" t="s">
        <v>176</v>
      </c>
      <c r="C57" t="s">
        <v>118</v>
      </c>
      <c r="D57" t="s">
        <v>118</v>
      </c>
      <c r="E57" t="b">
        <v>1</v>
      </c>
    </row>
    <row r="58" spans="1:5" x14ac:dyDescent="0.25">
      <c r="A58" t="s">
        <v>68</v>
      </c>
      <c r="B58" t="s">
        <v>177</v>
      </c>
      <c r="C58" t="s">
        <v>118</v>
      </c>
      <c r="D58" t="s">
        <v>118</v>
      </c>
      <c r="E58" t="b">
        <v>1</v>
      </c>
    </row>
    <row r="59" spans="1:5" x14ac:dyDescent="0.25">
      <c r="A59" t="s">
        <v>68</v>
      </c>
      <c r="B59" t="s">
        <v>178</v>
      </c>
      <c r="C59" t="s">
        <v>113</v>
      </c>
      <c r="D59" t="s">
        <v>113</v>
      </c>
      <c r="E59" t="b">
        <v>1</v>
      </c>
    </row>
    <row r="60" spans="1:5" x14ac:dyDescent="0.25">
      <c r="A60" t="s">
        <v>84</v>
      </c>
      <c r="B60" t="s">
        <v>179</v>
      </c>
      <c r="C60" t="s">
        <v>154</v>
      </c>
      <c r="D60" t="s">
        <v>154</v>
      </c>
      <c r="E60" t="b">
        <v>1</v>
      </c>
    </row>
    <row r="61" spans="1:5" x14ac:dyDescent="0.25">
      <c r="A61" t="s">
        <v>84</v>
      </c>
      <c r="B61" t="s">
        <v>180</v>
      </c>
      <c r="C61" t="s">
        <v>113</v>
      </c>
      <c r="D61" t="s">
        <v>113</v>
      </c>
      <c r="E61" t="b">
        <v>1</v>
      </c>
    </row>
    <row r="62" spans="1:5" x14ac:dyDescent="0.25">
      <c r="A62" t="s">
        <v>84</v>
      </c>
      <c r="B62" t="s">
        <v>181</v>
      </c>
      <c r="C62" t="s">
        <v>118</v>
      </c>
      <c r="D62" t="s">
        <v>118</v>
      </c>
      <c r="E62" t="b">
        <v>1</v>
      </c>
    </row>
    <row r="63" spans="1:5" x14ac:dyDescent="0.25">
      <c r="A63" t="s">
        <v>84</v>
      </c>
      <c r="B63" t="s">
        <v>182</v>
      </c>
      <c r="C63" t="s">
        <v>123</v>
      </c>
      <c r="D63" t="s">
        <v>123</v>
      </c>
      <c r="E63" t="b">
        <v>1</v>
      </c>
    </row>
  </sheetData>
  <autoFilter ref="A1:E63" xr:uid="{00000000-0001-0000-0300-000000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
  <sheetViews>
    <sheetView workbookViewId="0">
      <selection activeCell="L20" sqref="L20"/>
    </sheetView>
  </sheetViews>
  <sheetFormatPr defaultRowHeight="14.4" x14ac:dyDescent="0.25"/>
  <cols>
    <col min="1" max="1" width="14.33203125" customWidth="1"/>
    <col min="6" max="8" width="12.33203125" bestFit="1" customWidth="1"/>
  </cols>
  <sheetData>
    <row r="1" spans="1:10" x14ac:dyDescent="0.25">
      <c r="A1" s="4" t="s">
        <v>195</v>
      </c>
      <c r="B1" s="1" t="s">
        <v>123</v>
      </c>
      <c r="C1" s="1" t="s">
        <v>142</v>
      </c>
      <c r="D1" s="1" t="s">
        <v>157</v>
      </c>
      <c r="E1" s="1" t="s">
        <v>115</v>
      </c>
      <c r="F1" s="1" t="s">
        <v>127</v>
      </c>
      <c r="G1" s="1" t="s">
        <v>113</v>
      </c>
      <c r="H1" s="1" t="s">
        <v>118</v>
      </c>
      <c r="I1" s="1" t="s">
        <v>163</v>
      </c>
      <c r="J1" s="1" t="s">
        <v>154</v>
      </c>
    </row>
    <row r="2" spans="1:10" x14ac:dyDescent="0.25">
      <c r="A2" s="1" t="s">
        <v>123</v>
      </c>
      <c r="B2">
        <v>12</v>
      </c>
      <c r="C2">
        <v>0</v>
      </c>
      <c r="D2">
        <v>0</v>
      </c>
      <c r="E2">
        <v>0</v>
      </c>
      <c r="F2">
        <v>0</v>
      </c>
      <c r="G2">
        <v>0</v>
      </c>
      <c r="H2">
        <v>0</v>
      </c>
      <c r="I2">
        <v>0</v>
      </c>
      <c r="J2">
        <v>0</v>
      </c>
    </row>
    <row r="3" spans="1:10" x14ac:dyDescent="0.25">
      <c r="A3" s="1" t="s">
        <v>142</v>
      </c>
      <c r="B3">
        <v>1</v>
      </c>
      <c r="C3">
        <v>2</v>
      </c>
      <c r="D3">
        <v>0</v>
      </c>
      <c r="E3">
        <v>0</v>
      </c>
      <c r="F3">
        <v>0</v>
      </c>
      <c r="G3">
        <v>0</v>
      </c>
      <c r="H3">
        <v>0</v>
      </c>
      <c r="I3">
        <v>0</v>
      </c>
      <c r="J3">
        <v>0</v>
      </c>
    </row>
    <row r="4" spans="1:10" x14ac:dyDescent="0.25">
      <c r="A4" s="1" t="s">
        <v>157</v>
      </c>
      <c r="B4">
        <v>0</v>
      </c>
      <c r="C4">
        <v>0</v>
      </c>
      <c r="D4">
        <v>2</v>
      </c>
      <c r="E4">
        <v>0</v>
      </c>
      <c r="F4">
        <v>0</v>
      </c>
      <c r="G4">
        <v>0</v>
      </c>
      <c r="H4">
        <v>0</v>
      </c>
      <c r="I4">
        <v>0</v>
      </c>
      <c r="J4">
        <v>0</v>
      </c>
    </row>
    <row r="5" spans="1:10" x14ac:dyDescent="0.25">
      <c r="A5" s="1" t="s">
        <v>115</v>
      </c>
      <c r="B5">
        <v>1</v>
      </c>
      <c r="C5">
        <v>0</v>
      </c>
      <c r="D5">
        <v>0</v>
      </c>
      <c r="E5">
        <v>2</v>
      </c>
      <c r="F5">
        <v>0</v>
      </c>
      <c r="G5">
        <v>0</v>
      </c>
      <c r="H5">
        <v>0</v>
      </c>
      <c r="I5">
        <v>0</v>
      </c>
      <c r="J5">
        <v>0</v>
      </c>
    </row>
    <row r="6" spans="1:10" x14ac:dyDescent="0.25">
      <c r="A6" s="1" t="s">
        <v>127</v>
      </c>
      <c r="B6">
        <v>0</v>
      </c>
      <c r="C6">
        <v>0</v>
      </c>
      <c r="D6">
        <v>0</v>
      </c>
      <c r="E6">
        <v>0</v>
      </c>
      <c r="F6">
        <v>3</v>
      </c>
      <c r="G6">
        <v>1</v>
      </c>
      <c r="H6">
        <v>0</v>
      </c>
      <c r="I6">
        <v>0</v>
      </c>
      <c r="J6">
        <v>0</v>
      </c>
    </row>
    <row r="7" spans="1:10" ht="13.8" customHeight="1" x14ac:dyDescent="0.25">
      <c r="A7" s="1" t="s">
        <v>113</v>
      </c>
      <c r="B7">
        <v>1</v>
      </c>
      <c r="C7">
        <v>0</v>
      </c>
      <c r="D7">
        <v>0</v>
      </c>
      <c r="E7">
        <v>0</v>
      </c>
      <c r="F7">
        <v>0</v>
      </c>
      <c r="G7">
        <v>12</v>
      </c>
      <c r="H7">
        <v>1</v>
      </c>
      <c r="I7">
        <v>0</v>
      </c>
      <c r="J7">
        <v>0</v>
      </c>
    </row>
    <row r="8" spans="1:10" x14ac:dyDescent="0.25">
      <c r="A8" s="1" t="s">
        <v>118</v>
      </c>
      <c r="B8">
        <v>1</v>
      </c>
      <c r="C8">
        <v>0</v>
      </c>
      <c r="D8">
        <v>0</v>
      </c>
      <c r="E8">
        <v>0</v>
      </c>
      <c r="F8">
        <v>0</v>
      </c>
      <c r="G8">
        <v>1</v>
      </c>
      <c r="H8">
        <v>16</v>
      </c>
      <c r="I8">
        <v>0</v>
      </c>
      <c r="J8">
        <v>0</v>
      </c>
    </row>
    <row r="9" spans="1:10" x14ac:dyDescent="0.25">
      <c r="A9" s="1" t="s">
        <v>163</v>
      </c>
      <c r="B9">
        <v>0</v>
      </c>
      <c r="C9">
        <v>0</v>
      </c>
      <c r="D9">
        <v>0</v>
      </c>
      <c r="E9">
        <v>0</v>
      </c>
      <c r="F9">
        <v>0</v>
      </c>
      <c r="G9">
        <v>0</v>
      </c>
      <c r="H9">
        <v>0</v>
      </c>
      <c r="I9">
        <v>1</v>
      </c>
      <c r="J9">
        <v>0</v>
      </c>
    </row>
    <row r="10" spans="1:10" x14ac:dyDescent="0.25">
      <c r="A10" s="1" t="s">
        <v>154</v>
      </c>
      <c r="B10">
        <v>1</v>
      </c>
      <c r="C10">
        <v>0</v>
      </c>
      <c r="D10">
        <v>0</v>
      </c>
      <c r="E10">
        <v>0</v>
      </c>
      <c r="F10">
        <v>0</v>
      </c>
      <c r="G10">
        <v>0</v>
      </c>
      <c r="H10">
        <v>0</v>
      </c>
      <c r="I10">
        <v>0</v>
      </c>
      <c r="J10">
        <v>4</v>
      </c>
    </row>
    <row r="12" spans="1:10" ht="15" thickBot="1" x14ac:dyDescent="0.3"/>
    <row r="13" spans="1:10" ht="15" thickBot="1" x14ac:dyDescent="0.3">
      <c r="A13" s="5" t="s">
        <v>196</v>
      </c>
      <c r="B13" s="6" t="s">
        <v>197</v>
      </c>
      <c r="C13" s="7" t="s">
        <v>188</v>
      </c>
      <c r="D13" s="7" t="s">
        <v>192</v>
      </c>
      <c r="E13" s="7" t="s">
        <v>190</v>
      </c>
      <c r="F13" s="6" t="s">
        <v>198</v>
      </c>
      <c r="G13" s="6" t="s">
        <v>199</v>
      </c>
      <c r="H13" s="7" t="s">
        <v>200</v>
      </c>
    </row>
    <row r="14" spans="1:10" ht="15" thickBot="1" x14ac:dyDescent="0.3">
      <c r="A14" s="8" t="s">
        <v>123</v>
      </c>
      <c r="B14" s="9">
        <v>12</v>
      </c>
      <c r="C14" s="9">
        <v>12</v>
      </c>
      <c r="D14" s="9">
        <v>0</v>
      </c>
      <c r="E14" s="9">
        <v>0</v>
      </c>
      <c r="F14" s="9">
        <f>C14/(C14+D14)</f>
        <v>1</v>
      </c>
      <c r="G14" s="9">
        <f>C14/(C14+E14)</f>
        <v>1</v>
      </c>
      <c r="H14" s="9">
        <f>2*F14*G14/(F14+G14)</f>
        <v>1</v>
      </c>
    </row>
    <row r="15" spans="1:10" ht="15" thickBot="1" x14ac:dyDescent="0.3">
      <c r="A15" s="8" t="s">
        <v>142</v>
      </c>
      <c r="B15" s="9">
        <v>3</v>
      </c>
      <c r="C15" s="9">
        <v>2</v>
      </c>
      <c r="D15" s="9">
        <v>1</v>
      </c>
      <c r="E15" s="9">
        <v>1</v>
      </c>
      <c r="F15" s="9">
        <f>C15/(C15+D15)</f>
        <v>0.66666666666666663</v>
      </c>
      <c r="G15" s="9">
        <f>C15/(C15+E15)</f>
        <v>0.66666666666666663</v>
      </c>
      <c r="H15" s="9">
        <f>2*F15*G15/(F15+G15)</f>
        <v>0.66666666666666663</v>
      </c>
    </row>
    <row r="16" spans="1:10" ht="15" thickBot="1" x14ac:dyDescent="0.3">
      <c r="A16" s="8" t="s">
        <v>157</v>
      </c>
      <c r="B16" s="9">
        <v>2</v>
      </c>
      <c r="C16" s="9">
        <v>2</v>
      </c>
      <c r="D16" s="9">
        <v>0</v>
      </c>
      <c r="E16" s="9">
        <v>0</v>
      </c>
      <c r="F16" s="9">
        <f t="shared" ref="F16:F22" si="0">C16/(C16+D16)</f>
        <v>1</v>
      </c>
      <c r="G16" s="9">
        <f t="shared" ref="G16:G22" si="1">C16/(C16+E16)</f>
        <v>1</v>
      </c>
      <c r="H16" s="9">
        <f t="shared" ref="H16:H22" si="2">2*F16/(F16+G16)</f>
        <v>1</v>
      </c>
    </row>
    <row r="17" spans="1:8" ht="15" thickBot="1" x14ac:dyDescent="0.3">
      <c r="A17" s="8" t="s">
        <v>115</v>
      </c>
      <c r="B17" s="9">
        <v>3</v>
      </c>
      <c r="C17" s="9">
        <v>2</v>
      </c>
      <c r="D17" s="9">
        <v>1</v>
      </c>
      <c r="E17" s="9">
        <v>1</v>
      </c>
      <c r="F17" s="9">
        <f t="shared" si="0"/>
        <v>0.66666666666666663</v>
      </c>
      <c r="G17" s="9">
        <f t="shared" si="1"/>
        <v>0.66666666666666663</v>
      </c>
      <c r="H17" s="9">
        <f t="shared" si="2"/>
        <v>1</v>
      </c>
    </row>
    <row r="18" spans="1:8" ht="15" thickBot="1" x14ac:dyDescent="0.3">
      <c r="A18" s="8" t="s">
        <v>127</v>
      </c>
      <c r="B18" s="9">
        <v>4</v>
      </c>
      <c r="C18" s="9">
        <v>3</v>
      </c>
      <c r="D18" s="9">
        <v>1</v>
      </c>
      <c r="E18" s="9">
        <v>1</v>
      </c>
      <c r="F18" s="9">
        <f t="shared" si="0"/>
        <v>0.75</v>
      </c>
      <c r="G18" s="9">
        <f t="shared" si="1"/>
        <v>0.75</v>
      </c>
      <c r="H18" s="9">
        <f t="shared" si="2"/>
        <v>1</v>
      </c>
    </row>
    <row r="19" spans="1:8" ht="15" thickBot="1" x14ac:dyDescent="0.3">
      <c r="A19" s="8" t="s">
        <v>113</v>
      </c>
      <c r="B19" s="9">
        <v>14</v>
      </c>
      <c r="C19" s="9">
        <v>12</v>
      </c>
      <c r="D19" s="9">
        <v>2</v>
      </c>
      <c r="E19" s="9">
        <v>2</v>
      </c>
      <c r="F19" s="9">
        <f t="shared" si="0"/>
        <v>0.8571428571428571</v>
      </c>
      <c r="G19" s="9">
        <f t="shared" si="1"/>
        <v>0.8571428571428571</v>
      </c>
      <c r="H19" s="9">
        <f t="shared" si="2"/>
        <v>1</v>
      </c>
    </row>
    <row r="20" spans="1:8" ht="15" thickBot="1" x14ac:dyDescent="0.3">
      <c r="A20" s="8" t="s">
        <v>118</v>
      </c>
      <c r="B20" s="9">
        <v>18</v>
      </c>
      <c r="C20" s="9">
        <v>16</v>
      </c>
      <c r="D20" s="9">
        <v>2</v>
      </c>
      <c r="E20" s="9">
        <v>2</v>
      </c>
      <c r="F20" s="9">
        <f t="shared" si="0"/>
        <v>0.88888888888888884</v>
      </c>
      <c r="G20" s="9">
        <f t="shared" si="1"/>
        <v>0.88888888888888884</v>
      </c>
      <c r="H20" s="9">
        <f t="shared" si="2"/>
        <v>1</v>
      </c>
    </row>
    <row r="21" spans="1:8" ht="15" thickBot="1" x14ac:dyDescent="0.3">
      <c r="A21" s="8" t="s">
        <v>163</v>
      </c>
      <c r="B21" s="9">
        <v>1</v>
      </c>
      <c r="C21" s="9">
        <v>1</v>
      </c>
      <c r="D21" s="9">
        <v>0</v>
      </c>
      <c r="E21" s="9">
        <v>0</v>
      </c>
      <c r="F21" s="9">
        <f t="shared" si="0"/>
        <v>1</v>
      </c>
      <c r="G21" s="9">
        <f t="shared" si="1"/>
        <v>1</v>
      </c>
      <c r="H21" s="9">
        <f t="shared" si="2"/>
        <v>1</v>
      </c>
    </row>
    <row r="22" spans="1:8" ht="15" thickBot="1" x14ac:dyDescent="0.3">
      <c r="A22" s="8" t="s">
        <v>154</v>
      </c>
      <c r="B22" s="9">
        <v>5</v>
      </c>
      <c r="C22" s="9">
        <v>4</v>
      </c>
      <c r="D22" s="9">
        <v>1</v>
      </c>
      <c r="E22" s="9">
        <v>1</v>
      </c>
      <c r="F22" s="9">
        <f t="shared" si="0"/>
        <v>0.8</v>
      </c>
      <c r="G22" s="9">
        <f t="shared" si="1"/>
        <v>0.8</v>
      </c>
      <c r="H22" s="9">
        <f t="shared" si="2"/>
        <v>1</v>
      </c>
    </row>
    <row r="23" spans="1:8" ht="18" x14ac:dyDescent="0.45">
      <c r="A23" s="3" t="s">
        <v>201</v>
      </c>
      <c r="B23">
        <f>SUM(B14:B22)</f>
        <v>62</v>
      </c>
      <c r="C23">
        <f t="shared" ref="C23:D23" si="3">SUM(C14:C22)</f>
        <v>54</v>
      </c>
      <c r="D23">
        <f t="shared" si="3"/>
        <v>8</v>
      </c>
      <c r="E23">
        <f>SUM(E14:E22)</f>
        <v>8</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defaultRowHeight="14.4" x14ac:dyDescent="0.25"/>
  <sheetData>
    <row r="1" spans="1:4" x14ac:dyDescent="0.25">
      <c r="A1" s="1" t="s">
        <v>183</v>
      </c>
      <c r="B1" s="1" t="s">
        <v>184</v>
      </c>
      <c r="C1" s="1" t="s">
        <v>185</v>
      </c>
      <c r="D1" s="1" t="s">
        <v>186</v>
      </c>
    </row>
    <row r="2" spans="1:4" x14ac:dyDescent="0.25">
      <c r="A2" s="1" t="s">
        <v>184</v>
      </c>
      <c r="B2">
        <v>44</v>
      </c>
      <c r="C2">
        <v>0</v>
      </c>
      <c r="D2">
        <v>1</v>
      </c>
    </row>
    <row r="3" spans="1:4" x14ac:dyDescent="0.25">
      <c r="A3" s="1" t="s">
        <v>185</v>
      </c>
      <c r="B3">
        <v>0</v>
      </c>
      <c r="C3">
        <v>7</v>
      </c>
      <c r="D3">
        <v>0</v>
      </c>
    </row>
    <row r="4" spans="1:4" x14ac:dyDescent="0.25">
      <c r="A4" s="1" t="s">
        <v>186</v>
      </c>
      <c r="B4">
        <v>0</v>
      </c>
      <c r="C4">
        <v>0</v>
      </c>
      <c r="D4">
        <v>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5"/>
  <sheetViews>
    <sheetView workbookViewId="0"/>
  </sheetViews>
  <sheetFormatPr defaultRowHeight="14.4" x14ac:dyDescent="0.25"/>
  <sheetData>
    <row r="1" spans="1:2" x14ac:dyDescent="0.25">
      <c r="A1" s="1" t="s">
        <v>183</v>
      </c>
      <c r="B1" s="1" t="s">
        <v>187</v>
      </c>
    </row>
    <row r="2" spans="1:2" x14ac:dyDescent="0.25">
      <c r="A2" t="s">
        <v>184</v>
      </c>
      <c r="B2" t="s">
        <v>184</v>
      </c>
    </row>
    <row r="3" spans="1:2" x14ac:dyDescent="0.25">
      <c r="A3" t="s">
        <v>184</v>
      </c>
      <c r="B3" t="s">
        <v>184</v>
      </c>
    </row>
    <row r="4" spans="1:2" x14ac:dyDescent="0.25">
      <c r="A4" t="s">
        <v>184</v>
      </c>
      <c r="B4" t="s">
        <v>184</v>
      </c>
    </row>
    <row r="5" spans="1:2" x14ac:dyDescent="0.25">
      <c r="A5" t="s">
        <v>184</v>
      </c>
      <c r="B5" t="s">
        <v>184</v>
      </c>
    </row>
    <row r="6" spans="1:2" x14ac:dyDescent="0.25">
      <c r="A6" t="s">
        <v>184</v>
      </c>
      <c r="B6" t="s">
        <v>184</v>
      </c>
    </row>
    <row r="7" spans="1:2" x14ac:dyDescent="0.25">
      <c r="A7" t="s">
        <v>184</v>
      </c>
      <c r="B7" t="s">
        <v>184</v>
      </c>
    </row>
    <row r="8" spans="1:2" x14ac:dyDescent="0.25">
      <c r="A8" t="s">
        <v>184</v>
      </c>
      <c r="B8" t="s">
        <v>184</v>
      </c>
    </row>
    <row r="9" spans="1:2" x14ac:dyDescent="0.25">
      <c r="A9" t="s">
        <v>184</v>
      </c>
      <c r="B9" t="s">
        <v>184</v>
      </c>
    </row>
    <row r="10" spans="1:2" x14ac:dyDescent="0.25">
      <c r="A10" t="s">
        <v>184</v>
      </c>
      <c r="B10" t="s">
        <v>184</v>
      </c>
    </row>
    <row r="11" spans="1:2" x14ac:dyDescent="0.25">
      <c r="A11" t="s">
        <v>184</v>
      </c>
      <c r="B11" t="s">
        <v>184</v>
      </c>
    </row>
    <row r="12" spans="1:2" x14ac:dyDescent="0.25">
      <c r="A12" t="s">
        <v>184</v>
      </c>
      <c r="B12" t="s">
        <v>184</v>
      </c>
    </row>
    <row r="13" spans="1:2" x14ac:dyDescent="0.25">
      <c r="A13" t="s">
        <v>184</v>
      </c>
      <c r="B13" t="s">
        <v>184</v>
      </c>
    </row>
    <row r="14" spans="1:2" x14ac:dyDescent="0.25">
      <c r="A14" t="s">
        <v>184</v>
      </c>
      <c r="B14" t="s">
        <v>184</v>
      </c>
    </row>
    <row r="15" spans="1:2" x14ac:dyDescent="0.25">
      <c r="A15" t="s">
        <v>184</v>
      </c>
      <c r="B15" t="s">
        <v>184</v>
      </c>
    </row>
    <row r="16" spans="1:2" x14ac:dyDescent="0.25">
      <c r="A16" t="s">
        <v>184</v>
      </c>
      <c r="B16" t="s">
        <v>184</v>
      </c>
    </row>
    <row r="17" spans="1:2" x14ac:dyDescent="0.25">
      <c r="A17" t="s">
        <v>184</v>
      </c>
      <c r="B17" t="s">
        <v>184</v>
      </c>
    </row>
    <row r="18" spans="1:2" x14ac:dyDescent="0.25">
      <c r="A18" t="s">
        <v>184</v>
      </c>
      <c r="B18" t="s">
        <v>184</v>
      </c>
    </row>
    <row r="19" spans="1:2" x14ac:dyDescent="0.25">
      <c r="A19" t="s">
        <v>184</v>
      </c>
      <c r="B19" t="s">
        <v>184</v>
      </c>
    </row>
    <row r="20" spans="1:2" x14ac:dyDescent="0.25">
      <c r="A20" t="s">
        <v>184</v>
      </c>
      <c r="B20" t="s">
        <v>184</v>
      </c>
    </row>
    <row r="21" spans="1:2" x14ac:dyDescent="0.25">
      <c r="A21" t="s">
        <v>185</v>
      </c>
      <c r="B21" t="s">
        <v>185</v>
      </c>
    </row>
    <row r="22" spans="1:2" x14ac:dyDescent="0.25">
      <c r="A22" t="s">
        <v>184</v>
      </c>
      <c r="B22" t="s">
        <v>184</v>
      </c>
    </row>
    <row r="23" spans="1:2" x14ac:dyDescent="0.25">
      <c r="A23" t="s">
        <v>185</v>
      </c>
      <c r="B23" t="s">
        <v>185</v>
      </c>
    </row>
    <row r="24" spans="1:2" x14ac:dyDescent="0.25">
      <c r="A24" t="s">
        <v>184</v>
      </c>
      <c r="B24" t="s">
        <v>184</v>
      </c>
    </row>
    <row r="25" spans="1:2" x14ac:dyDescent="0.25">
      <c r="A25" t="s">
        <v>184</v>
      </c>
      <c r="B25" t="s">
        <v>184</v>
      </c>
    </row>
    <row r="26" spans="1:2" x14ac:dyDescent="0.25">
      <c r="A26" t="s">
        <v>184</v>
      </c>
      <c r="B26" t="s">
        <v>184</v>
      </c>
    </row>
    <row r="27" spans="1:2" x14ac:dyDescent="0.25">
      <c r="A27" t="s">
        <v>184</v>
      </c>
      <c r="B27" t="s">
        <v>184</v>
      </c>
    </row>
    <row r="28" spans="1:2" x14ac:dyDescent="0.25">
      <c r="A28" t="s">
        <v>184</v>
      </c>
      <c r="B28" t="s">
        <v>184</v>
      </c>
    </row>
    <row r="29" spans="1:2" x14ac:dyDescent="0.25">
      <c r="A29" t="s">
        <v>185</v>
      </c>
      <c r="B29" t="s">
        <v>185</v>
      </c>
    </row>
    <row r="30" spans="1:2" x14ac:dyDescent="0.25">
      <c r="A30" t="s">
        <v>186</v>
      </c>
      <c r="B30" t="s">
        <v>186</v>
      </c>
    </row>
    <row r="31" spans="1:2" x14ac:dyDescent="0.25">
      <c r="A31" t="s">
        <v>184</v>
      </c>
      <c r="B31" t="s">
        <v>184</v>
      </c>
    </row>
    <row r="32" spans="1:2" x14ac:dyDescent="0.25">
      <c r="A32" t="s">
        <v>184</v>
      </c>
      <c r="B32" t="s">
        <v>184</v>
      </c>
    </row>
    <row r="33" spans="1:2" x14ac:dyDescent="0.25">
      <c r="A33" t="s">
        <v>184</v>
      </c>
      <c r="B33" t="s">
        <v>184</v>
      </c>
    </row>
    <row r="34" spans="1:2" x14ac:dyDescent="0.25">
      <c r="A34" t="s">
        <v>184</v>
      </c>
      <c r="B34" t="s">
        <v>184</v>
      </c>
    </row>
    <row r="35" spans="1:2" x14ac:dyDescent="0.25">
      <c r="A35" t="s">
        <v>184</v>
      </c>
      <c r="B35" t="s">
        <v>184</v>
      </c>
    </row>
    <row r="36" spans="1:2" x14ac:dyDescent="0.25">
      <c r="A36" t="s">
        <v>184</v>
      </c>
      <c r="B36" t="s">
        <v>186</v>
      </c>
    </row>
    <row r="37" spans="1:2" x14ac:dyDescent="0.25">
      <c r="A37" t="s">
        <v>184</v>
      </c>
      <c r="B37" t="s">
        <v>184</v>
      </c>
    </row>
    <row r="38" spans="1:2" x14ac:dyDescent="0.25">
      <c r="A38" t="s">
        <v>185</v>
      </c>
      <c r="B38" t="s">
        <v>185</v>
      </c>
    </row>
    <row r="39" spans="1:2" x14ac:dyDescent="0.25">
      <c r="A39" t="s">
        <v>185</v>
      </c>
      <c r="B39" t="s">
        <v>185</v>
      </c>
    </row>
    <row r="40" spans="1:2" x14ac:dyDescent="0.25">
      <c r="A40" t="s">
        <v>185</v>
      </c>
      <c r="B40" t="s">
        <v>185</v>
      </c>
    </row>
    <row r="41" spans="1:2" x14ac:dyDescent="0.25">
      <c r="A41" t="s">
        <v>184</v>
      </c>
      <c r="B41" t="s">
        <v>184</v>
      </c>
    </row>
    <row r="42" spans="1:2" x14ac:dyDescent="0.25">
      <c r="A42" t="s">
        <v>186</v>
      </c>
      <c r="B42" t="s">
        <v>186</v>
      </c>
    </row>
    <row r="43" spans="1:2" x14ac:dyDescent="0.25">
      <c r="A43" t="s">
        <v>184</v>
      </c>
      <c r="B43" t="s">
        <v>184</v>
      </c>
    </row>
    <row r="44" spans="1:2" x14ac:dyDescent="0.25">
      <c r="A44" t="s">
        <v>184</v>
      </c>
      <c r="B44" t="s">
        <v>184</v>
      </c>
    </row>
    <row r="45" spans="1:2" x14ac:dyDescent="0.25">
      <c r="A45" t="s">
        <v>184</v>
      </c>
      <c r="B45" t="s">
        <v>184</v>
      </c>
    </row>
    <row r="46" spans="1:2" x14ac:dyDescent="0.25">
      <c r="A46" t="s">
        <v>184</v>
      </c>
      <c r="B46" t="s">
        <v>184</v>
      </c>
    </row>
    <row r="47" spans="1:2" x14ac:dyDescent="0.25">
      <c r="A47" t="s">
        <v>184</v>
      </c>
      <c r="B47" t="s">
        <v>184</v>
      </c>
    </row>
    <row r="48" spans="1:2" x14ac:dyDescent="0.25">
      <c r="A48" t="s">
        <v>184</v>
      </c>
      <c r="B48" t="s">
        <v>184</v>
      </c>
    </row>
    <row r="49" spans="1:2" x14ac:dyDescent="0.25">
      <c r="A49" t="s">
        <v>184</v>
      </c>
      <c r="B49" t="s">
        <v>184</v>
      </c>
    </row>
    <row r="50" spans="1:2" x14ac:dyDescent="0.25">
      <c r="A50" t="s">
        <v>184</v>
      </c>
      <c r="B50" t="s">
        <v>184</v>
      </c>
    </row>
    <row r="51" spans="1:2" x14ac:dyDescent="0.25">
      <c r="A51" t="s">
        <v>185</v>
      </c>
      <c r="B51" t="s">
        <v>185</v>
      </c>
    </row>
    <row r="52" spans="1:2" x14ac:dyDescent="0.25">
      <c r="A52" t="s">
        <v>184</v>
      </c>
      <c r="B52" t="s">
        <v>184</v>
      </c>
    </row>
    <row r="53" spans="1:2" x14ac:dyDescent="0.25">
      <c r="A53" t="s">
        <v>184</v>
      </c>
      <c r="B53" t="s">
        <v>184</v>
      </c>
    </row>
    <row r="54" spans="1:2" x14ac:dyDescent="0.25">
      <c r="A54" t="s">
        <v>184</v>
      </c>
      <c r="B54" t="s">
        <v>184</v>
      </c>
    </row>
    <row r="55" spans="1:2" x14ac:dyDescent="0.25">
      <c r="A55" t="s">
        <v>184</v>
      </c>
      <c r="B55" t="s">
        <v>184</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25"/>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总体指标</vt:lpstr>
      <vt:lpstr>逐条评论指标</vt:lpstr>
      <vt:lpstr>书籍与投稿类型</vt:lpstr>
      <vt:lpstr>Aspect变化明细</vt:lpstr>
      <vt:lpstr>Aspect变化矩阵</vt:lpstr>
      <vt:lpstr>Polarity混淆矩阵</vt:lpstr>
      <vt:lpstr>Polarity匹配明细</vt:lpstr>
      <vt:lpstr>无效输出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chutian li</cp:lastModifiedBy>
  <dcterms:created xsi:type="dcterms:W3CDTF">2026-10-02T09:59:58Z</dcterms:created>
  <dcterms:modified xsi:type="dcterms:W3CDTF">2026-10-22T04:58:57Z</dcterms:modified>
</cp:coreProperties>
</file>